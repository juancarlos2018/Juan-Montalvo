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ostStructure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MarginalCostSchedules" sheetId="4" state="visible" r:id="rId4"/>
    <sheet xmlns:r="http://schemas.openxmlformats.org/officeDocument/2006/relationships" name="Checks" sheetId="5" state="visible" r:id="rId5"/>
  </sheets>
  <definedNames>
    <definedName name="CARROT_BED_CAP">Inputs!$B$7</definedName>
    <definedName name="CARROT_BEDS">Optimization!$B$3</definedName>
    <definedName name="CARROT_DIM">Inputs!$B$10</definedName>
    <definedName name="CARROT_FERT">Inputs!$B$11</definedName>
    <definedName name="CARROT_HRS">Inputs!$B$9</definedName>
    <definedName name="CARROT_REVENUE">Inputs!$B$8</definedName>
    <definedName name="FIXED_COSTS">Inputs!$B$19</definedName>
    <definedName name="MESCLUN_BED_CAP">Inputs!$B$12</definedName>
    <definedName name="MESCLUN_BEDS">Optimization!$B$4</definedName>
    <definedName name="MESCLUN_DIM">Inputs!$B$15</definedName>
    <definedName name="MESCLUN_FERT">Inputs!$B$16</definedName>
    <definedName name="MESCLUN_HRS">Inputs!$B$14</definedName>
    <definedName name="MESCLUN_REVENUE">Inputs!$B$13</definedName>
    <definedName name="OWNER_HRS">Inputs!$B$20</definedName>
    <definedName name="OWNER_RATE">Inputs!$B$21</definedName>
    <definedName name="PROFIT_CELL_NOTE">CostStructure!$B$32</definedName>
    <definedName name="SEASON_WEEKS">Inputs!$B$18</definedName>
    <definedName name="TEMP_HRS_EACH">Inputs!$B$23</definedName>
    <definedName name="TEMP_RATE">Inputs!$B$24</definedName>
    <definedName name="TEMP_WORKER_CAP">Inputs!$B$22</definedName>
    <definedName name="TOMATO_BED_CAP">Inputs!$B$2</definedName>
    <definedName name="TOMATO_BEDS">Optimization!$B$2</definedName>
    <definedName name="TOMATO_DIM">Inputs!$B$5</definedName>
    <definedName name="TOMATO_FERT">Inputs!$B$6</definedName>
    <definedName name="TOMATO_HRS">Inputs!$B$4</definedName>
    <definedName name="TOMATO_REVENUE">Inputs!$B$3</definedName>
    <definedName name="TOTAL_BEDS">Inputs!$B$17</definedName>
    <definedName name="solver_adj" localSheetId="2" hidden="1">Optimization!$B$2:$B$4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Optimization!$B$2:$B$4</definedName>
    <definedName name="solver_lhs2" localSheetId="2" hidden="1">Optimization!$B$3</definedName>
    <definedName name="solver_lhs3" localSheetId="2" hidden="1">Optimization!$B$4</definedName>
    <definedName name="solver_lhs4" localSheetId="2" hidden="1">Optimization!$B$2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4</definedName>
    <definedName name="solver_nwt" localSheetId="2" hidden="1">1</definedName>
    <definedName name="solver_opt" localSheetId="2" hidden="1">Optimization!$B$18</definedName>
    <definedName name="solver_pre" localSheetId="2" hidden="1">0.000001</definedName>
    <definedName name="solver_rbv" localSheetId="2" hidden="1">1</definedName>
    <definedName name="solver_rel1" localSheetId="2" hidden="1">4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hs1" localSheetId="2" hidden="1">"integer"</definedName>
    <definedName name="solver_rhs2" localSheetId="2" hidden="1">Optimization!$B$22</definedName>
    <definedName name="solver_rhs3" localSheetId="2" hidden="1">Optimization!$B$23</definedName>
    <definedName name="solver_rhs4" localSheetId="2" hidden="1">Optimization!$B$21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3"/>
    </font>
    <font>
      <name val="Calibri"/>
      <family val="2"/>
      <b val="1"/>
      <sz val="12"/>
    </font>
  </fonts>
  <fills count="3">
    <fill>
      <patternFill/>
    </fill>
    <fill>
      <patternFill patternType="gray125"/>
    </fill>
    <fill>
      <patternFill patternType="solid">
        <fgColor rgb="FF1F4E5F"/>
        <bgColor rgb="FF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4.4"/>
  <cols>
    <col width="20" customWidth="1" min="1" max="1"/>
    <col width="12" customWidth="1" min="2" max="2"/>
    <col width="14" customWidth="1" min="3" max="4"/>
  </cols>
  <sheetData>
    <row r="1">
      <c r="A1" s="1" t="inlineStr">
        <is>
          <t>Name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</t>
        </is>
      </c>
    </row>
    <row r="2">
      <c r="A2" s="2" t="inlineStr">
        <is>
          <t>TOMATO_BED_CAP</t>
        </is>
      </c>
      <c r="B2" t="n">
        <v>20</v>
      </c>
      <c r="C2" t="inlineStr">
        <is>
          <t>beds</t>
        </is>
      </c>
      <c r="D2" t="inlineStr">
        <is>
          <t>case givens</t>
        </is>
      </c>
    </row>
    <row r="3">
      <c r="A3" s="2" t="inlineStr">
        <is>
          <t>TOMATO_REVENUE</t>
        </is>
      </c>
      <c r="B3" t="n">
        <v>8800</v>
      </c>
      <c r="C3" t="inlineStr">
        <is>
          <t>$/bed</t>
        </is>
      </c>
      <c r="D3" t="inlineStr">
        <is>
          <t>case givens</t>
        </is>
      </c>
    </row>
    <row r="4">
      <c r="A4" s="2" t="inlineStr">
        <is>
          <t>TOMATO_HRS</t>
        </is>
      </c>
      <c r="B4" t="n">
        <v>2.5</v>
      </c>
      <c r="C4" t="inlineStr">
        <is>
          <t>hrs/wk/bed</t>
        </is>
      </c>
      <c r="D4" t="inlineStr">
        <is>
          <t>case givens</t>
        </is>
      </c>
    </row>
    <row r="5">
      <c r="A5" s="2" t="inlineStr">
        <is>
          <t>TOMATO_DIM</t>
        </is>
      </c>
      <c r="B5" t="n">
        <v>0.1</v>
      </c>
      <c r="C5" t="inlineStr">
        <is>
          <t>-</t>
        </is>
      </c>
      <c r="D5" t="inlineStr">
        <is>
          <t>case givens</t>
        </is>
      </c>
    </row>
    <row r="6">
      <c r="A6" s="2" t="inlineStr">
        <is>
          <t>TOMATO_FERT</t>
        </is>
      </c>
      <c r="B6" t="n">
        <v>880</v>
      </c>
      <c r="C6" t="inlineStr">
        <is>
          <t>$/bed</t>
        </is>
      </c>
      <c r="D6" t="inlineStr">
        <is>
          <t>case givens</t>
        </is>
      </c>
    </row>
    <row r="7">
      <c r="A7" s="2" t="inlineStr">
        <is>
          <t>CARROT_BED_CAP</t>
        </is>
      </c>
      <c r="B7" t="n">
        <v>20</v>
      </c>
      <c r="C7" t="inlineStr">
        <is>
          <t>beds</t>
        </is>
      </c>
      <c r="D7" t="inlineStr">
        <is>
          <t>case givens</t>
        </is>
      </c>
    </row>
    <row r="8">
      <c r="A8" s="2" t="inlineStr">
        <is>
          <t>CARROT_REVENUE</t>
        </is>
      </c>
      <c r="B8" t="n">
        <v>2094</v>
      </c>
      <c r="C8" t="inlineStr">
        <is>
          <t>$/bed</t>
        </is>
      </c>
      <c r="D8" t="inlineStr">
        <is>
          <t>case givens</t>
        </is>
      </c>
    </row>
    <row r="9">
      <c r="A9" s="2" t="inlineStr">
        <is>
          <t>CARROT_HRS</t>
        </is>
      </c>
      <c r="B9">
        <f>2.5/3</f>
        <v/>
      </c>
      <c r="C9" t="inlineStr">
        <is>
          <t>hrs/wk/bed</t>
        </is>
      </c>
      <c r="D9" t="inlineStr">
        <is>
          <t>case givens</t>
        </is>
      </c>
    </row>
    <row r="10">
      <c r="A10" s="2" t="inlineStr">
        <is>
          <t>CARROT_DIM</t>
        </is>
      </c>
      <c r="B10" t="n">
        <v>0.025</v>
      </c>
      <c r="C10" t="inlineStr">
        <is>
          <t>-</t>
        </is>
      </c>
      <c r="D10" t="inlineStr">
        <is>
          <t>case givens</t>
        </is>
      </c>
    </row>
    <row r="11">
      <c r="A11" s="2" t="inlineStr">
        <is>
          <t>CARROT_FERT</t>
        </is>
      </c>
      <c r="B11" t="n">
        <v>440</v>
      </c>
      <c r="C11" t="inlineStr">
        <is>
          <t>$/bed</t>
        </is>
      </c>
      <c r="D11" t="inlineStr">
        <is>
          <t>case givens</t>
        </is>
      </c>
    </row>
    <row r="12">
      <c r="A12" s="2" t="inlineStr">
        <is>
          <t>MESCLUN_BED_CAP</t>
        </is>
      </c>
      <c r="B12" t="n">
        <v>30</v>
      </c>
      <c r="C12" t="inlineStr">
        <is>
          <t>beds</t>
        </is>
      </c>
      <c r="D12" t="inlineStr">
        <is>
          <t>case givens</t>
        </is>
      </c>
    </row>
    <row r="13">
      <c r="A13" s="2" t="inlineStr">
        <is>
          <t>MESCLUN_REVENUE</t>
        </is>
      </c>
      <c r="B13" t="n">
        <v>2700</v>
      </c>
      <c r="C13" t="inlineStr">
        <is>
          <t>$/bed</t>
        </is>
      </c>
      <c r="D13" t="inlineStr">
        <is>
          <t>case givens</t>
        </is>
      </c>
    </row>
    <row r="14">
      <c r="A14" s="2" t="inlineStr">
        <is>
          <t>MESCLUN_HRS</t>
        </is>
      </c>
      <c r="B14" t="n">
        <v>1.25</v>
      </c>
      <c r="C14" t="inlineStr">
        <is>
          <t>hrs/wk/bed</t>
        </is>
      </c>
      <c r="D14" t="inlineStr">
        <is>
          <t>case givens</t>
        </is>
      </c>
    </row>
    <row r="15">
      <c r="A15" s="2" t="inlineStr">
        <is>
          <t>MESCLUN_DIM</t>
        </is>
      </c>
      <c r="B15" t="n">
        <v>0.0125</v>
      </c>
      <c r="C15" t="inlineStr">
        <is>
          <t>-</t>
        </is>
      </c>
      <c r="D15" t="inlineStr">
        <is>
          <t>case givens</t>
        </is>
      </c>
    </row>
    <row r="16">
      <c r="A16" s="2" t="inlineStr">
        <is>
          <t>MESCLUN_FERT</t>
        </is>
      </c>
      <c r="B16" t="n">
        <v>880</v>
      </c>
      <c r="C16" t="inlineStr">
        <is>
          <t>$/bed</t>
        </is>
      </c>
      <c r="D16" t="inlineStr">
        <is>
          <t>case givens</t>
        </is>
      </c>
    </row>
    <row r="17">
      <c r="A17" s="2" t="inlineStr">
        <is>
          <t>TOTAL_BEDS</t>
        </is>
      </c>
      <c r="B17" t="n">
        <v>64</v>
      </c>
      <c r="C17" t="inlineStr">
        <is>
          <t>beds</t>
        </is>
      </c>
      <c r="D17" t="inlineStr">
        <is>
          <t>case givens</t>
        </is>
      </c>
    </row>
    <row r="18">
      <c r="A18" s="2" t="inlineStr">
        <is>
          <t>SEASON_WEEKS</t>
        </is>
      </c>
      <c r="B18" t="n">
        <v>36</v>
      </c>
      <c r="C18" t="inlineStr">
        <is>
          <t>weeks</t>
        </is>
      </c>
      <c r="D18" t="inlineStr">
        <is>
          <t>case givens</t>
        </is>
      </c>
    </row>
    <row r="19">
      <c r="A19" s="2" t="inlineStr">
        <is>
          <t>FIXED_COSTS</t>
        </is>
      </c>
      <c r="B19" t="n">
        <v>20000</v>
      </c>
      <c r="C19" t="inlineStr">
        <is>
          <t>$</t>
        </is>
      </c>
      <c r="D19" t="inlineStr">
        <is>
          <t>case givens</t>
        </is>
      </c>
    </row>
    <row r="20">
      <c r="A20" s="2" t="inlineStr">
        <is>
          <t>OWNER_HRS</t>
        </is>
      </c>
      <c r="B20" t="n">
        <v>720</v>
      </c>
      <c r="C20" t="inlineStr">
        <is>
          <t>hrs</t>
        </is>
      </c>
      <c r="D20" t="inlineStr">
        <is>
          <t>case givens</t>
        </is>
      </c>
    </row>
    <row r="21">
      <c r="A21" s="2" t="inlineStr">
        <is>
          <t>OWNER_RATE</t>
        </is>
      </c>
      <c r="B21">
        <f>50000/1440</f>
        <v/>
      </c>
      <c r="C21" t="inlineStr">
        <is>
          <t>$/hr</t>
        </is>
      </c>
      <c r="D21" t="inlineStr">
        <is>
          <t>case givens</t>
        </is>
      </c>
    </row>
    <row r="22">
      <c r="A22" s="2" t="inlineStr">
        <is>
          <t>TEMP_WORKER_CAP</t>
        </is>
      </c>
      <c r="B22" t="n">
        <v>4</v>
      </c>
      <c r="C22" t="inlineStr">
        <is>
          <t>workers</t>
        </is>
      </c>
      <c r="D22" t="inlineStr">
        <is>
          <t>case givens</t>
        </is>
      </c>
    </row>
    <row r="23">
      <c r="A23" s="2" t="inlineStr">
        <is>
          <t>TEMP_HRS_EACH</t>
        </is>
      </c>
      <c r="B23" t="n">
        <v>1440</v>
      </c>
      <c r="C23" t="inlineStr">
        <is>
          <t>hrs</t>
        </is>
      </c>
      <c r="D23" t="inlineStr">
        <is>
          <t>case givens</t>
        </is>
      </c>
    </row>
    <row r="24">
      <c r="A24" s="2" t="inlineStr">
        <is>
          <t>TEMP_RATE</t>
        </is>
      </c>
      <c r="B24">
        <f>25000/1440</f>
        <v/>
      </c>
      <c r="C24" t="inlineStr">
        <is>
          <t>$/hr</t>
        </is>
      </c>
      <c r="D24" t="inlineStr">
        <is>
          <t>case givens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4.4"/>
  <cols>
    <col width="30" customWidth="1" min="1" max="1"/>
    <col width="45" customWidth="1" min="2" max="2"/>
    <col width="10" customWidth="1" min="3" max="3"/>
  </cols>
  <sheetData>
    <row r="1" ht="15.6" customHeight="1">
      <c r="A1" s="3" t="inlineStr">
        <is>
          <t>Labor hours needed</t>
        </is>
      </c>
    </row>
    <row r="2">
      <c r="A2" t="inlineStr">
        <is>
          <t>TOMATO_LABOR_HRS</t>
        </is>
      </c>
      <c r="B2">
        <f>TOMATO_BEDS*TOMATO_HRS*SEASON_WEEKS*(1+TOMATO_DIM)^TOMATO_BEDS</f>
        <v/>
      </c>
      <c r="C2" t="inlineStr">
        <is>
          <t>hrs</t>
        </is>
      </c>
    </row>
    <row r="3">
      <c r="A3" t="inlineStr">
        <is>
          <t>CARROT_LABOR_HRS</t>
        </is>
      </c>
      <c r="B3">
        <f>CARROT_BEDS*CARROT_HRS*SEASON_WEEKS*(1+CARROT_DIM)^CARROT_BEDS</f>
        <v/>
      </c>
      <c r="C3" t="inlineStr">
        <is>
          <t>hrs</t>
        </is>
      </c>
    </row>
    <row r="4">
      <c r="A4" t="inlineStr">
        <is>
          <t>MESCLUN_LABOR_HRS</t>
        </is>
      </c>
      <c r="B4">
        <f>MESCLUN_BEDS*MESCLUN_HRS*SEASON_WEEKS*(1+MESCLUN_DIM)^MESCLUN_BEDS</f>
        <v/>
      </c>
      <c r="C4" t="inlineStr">
        <is>
          <t>hrs</t>
        </is>
      </c>
    </row>
    <row r="5">
      <c r="A5" t="inlineStr">
        <is>
          <t>TOTAL_LABOR_HRS</t>
        </is>
      </c>
      <c r="B5">
        <f>B2+B3+B4</f>
        <v/>
      </c>
      <c r="C5" t="inlineStr">
        <is>
          <t>hrs</t>
        </is>
      </c>
    </row>
    <row r="7" ht="15.6" customHeight="1">
      <c r="A7" s="3" t="inlineStr">
        <is>
          <t>Labor allocation (owner first, then temp)</t>
        </is>
      </c>
    </row>
    <row r="8">
      <c r="A8" t="inlineStr">
        <is>
          <t>OWNER_HRS_USED</t>
        </is>
      </c>
      <c r="B8">
        <f>MIN(OWNER_HRS,B5)</f>
        <v/>
      </c>
      <c r="C8" t="inlineStr">
        <is>
          <t>hrs</t>
        </is>
      </c>
    </row>
    <row r="9">
      <c r="A9" t="inlineStr">
        <is>
          <t>TEMP_HRS_USED</t>
        </is>
      </c>
      <c r="B9">
        <f>MAX(0,B5-OWNER_HRS)</f>
        <v/>
      </c>
      <c r="C9" t="inlineStr">
        <is>
          <t>hrs</t>
        </is>
      </c>
    </row>
    <row r="10">
      <c r="A10" t="inlineStr">
        <is>
          <t>OWNER_LABOR_COST</t>
        </is>
      </c>
      <c r="B10">
        <f>B8*OWNER_RATE</f>
        <v/>
      </c>
      <c r="C10" t="inlineStr">
        <is>
          <t>$</t>
        </is>
      </c>
    </row>
    <row r="11">
      <c r="A11" t="inlineStr">
        <is>
          <t>TEMP_LABOR_COST</t>
        </is>
      </c>
      <c r="B11">
        <f>B9*TEMP_RATE</f>
        <v/>
      </c>
      <c r="C11" t="inlineStr">
        <is>
          <t>$</t>
        </is>
      </c>
    </row>
    <row r="12">
      <c r="A12" t="inlineStr">
        <is>
          <t>TOTAL_LABOR_COST</t>
        </is>
      </c>
      <c r="B12">
        <f>B10+B11</f>
        <v/>
      </c>
      <c r="C12" t="inlineStr">
        <is>
          <t>$</t>
        </is>
      </c>
    </row>
    <row r="13">
      <c r="A13" t="inlineStr">
        <is>
          <t>BLENDED_LABOR_RATE</t>
        </is>
      </c>
      <c r="B13">
        <f>IF(B5=0,0,B12/B5)</f>
        <v/>
      </c>
      <c r="C13" t="inlineStr">
        <is>
          <t>$/hr</t>
        </is>
      </c>
    </row>
    <row r="14">
      <c r="A14" t="inlineStr">
        <is>
          <t>TEMP_WORKERS_NEEDED</t>
        </is>
      </c>
      <c r="B14">
        <f>ROUNDUP(B9/TEMP_HRS_EACH,0)</f>
        <v/>
      </c>
      <c r="C14" t="inlineStr">
        <is>
          <t>workers</t>
        </is>
      </c>
    </row>
    <row r="16" ht="15.6" customHeight="1">
      <c r="A16" s="3" t="inlineStr">
        <is>
          <t>Per-crop labor cost (at blended rate)</t>
        </is>
      </c>
    </row>
    <row r="17">
      <c r="A17" t="inlineStr">
        <is>
          <t>TOMATO_LABOR_COST</t>
        </is>
      </c>
      <c r="B17">
        <f>B2*$B$13</f>
        <v/>
      </c>
      <c r="C17" t="inlineStr">
        <is>
          <t>$</t>
        </is>
      </c>
    </row>
    <row r="18">
      <c r="A18" t="inlineStr">
        <is>
          <t>CARROT_LABOR_COST</t>
        </is>
      </c>
      <c r="B18">
        <f>B3*$B$13</f>
        <v/>
      </c>
      <c r="C18" t="inlineStr">
        <is>
          <t>$</t>
        </is>
      </c>
    </row>
    <row r="19">
      <c r="A19" t="inlineStr">
        <is>
          <t>MESCLUN_LABOR_COST</t>
        </is>
      </c>
      <c r="B19">
        <f>B4*$B$13</f>
        <v/>
      </c>
      <c r="C19" t="inlineStr">
        <is>
          <t>$</t>
        </is>
      </c>
    </row>
    <row r="21" ht="15.6" customHeight="1">
      <c r="A21" s="3" t="inlineStr">
        <is>
          <t>Fertilizer cost</t>
        </is>
      </c>
    </row>
    <row r="22">
      <c r="A22" t="inlineStr">
        <is>
          <t>TOMATO_FERT_COST</t>
        </is>
      </c>
      <c r="B22">
        <f>TOMATO_BEDS*TOMATO_FERT</f>
        <v/>
      </c>
      <c r="C22" t="inlineStr">
        <is>
          <t>$</t>
        </is>
      </c>
    </row>
    <row r="23">
      <c r="A23" t="inlineStr">
        <is>
          <t>CARROT_FERT_COST</t>
        </is>
      </c>
      <c r="B23">
        <f>CARROT_BEDS*CARROT_FERT</f>
        <v/>
      </c>
      <c r="C23" t="inlineStr">
        <is>
          <t>$</t>
        </is>
      </c>
    </row>
    <row r="24">
      <c r="A24" t="inlineStr">
        <is>
          <t>MESCLUN_FERT_COST</t>
        </is>
      </c>
      <c r="B24">
        <f>MESCLUN_BEDS*MESCLUN_FERT</f>
        <v/>
      </c>
      <c r="C24" t="inlineStr">
        <is>
          <t>$</t>
        </is>
      </c>
    </row>
    <row r="26" ht="15.6" customHeight="1">
      <c r="A26" s="3" t="inlineStr">
        <is>
          <t>Revenue and profit</t>
        </is>
      </c>
    </row>
    <row r="27">
      <c r="A27" t="inlineStr">
        <is>
          <t>TOMATO_REVENUE_TOTAL</t>
        </is>
      </c>
      <c r="B27">
        <f>TOMATO_BEDS*TOMATO_REVENUE</f>
        <v/>
      </c>
      <c r="C27" t="inlineStr">
        <is>
          <t>$</t>
        </is>
      </c>
    </row>
    <row r="28">
      <c r="A28" t="inlineStr">
        <is>
          <t>CARROT_REVENUE_TOTAL</t>
        </is>
      </c>
      <c r="B28">
        <f>CARROT_BEDS*CARROT_REVENUE</f>
        <v/>
      </c>
      <c r="C28" t="inlineStr">
        <is>
          <t>$</t>
        </is>
      </c>
    </row>
    <row r="29">
      <c r="A29" t="inlineStr">
        <is>
          <t>MESCLUN_REVENUE_TOTAL</t>
        </is>
      </c>
      <c r="B29">
        <f>MESCLUN_BEDS*MESCLUN_REVENUE</f>
        <v/>
      </c>
      <c r="C29" t="inlineStr">
        <is>
          <t>$</t>
        </is>
      </c>
    </row>
    <row r="30">
      <c r="A30" t="inlineStr">
        <is>
          <t>TOTAL_REVENUE</t>
        </is>
      </c>
      <c r="B30">
        <f>B27+B28+B29</f>
        <v/>
      </c>
      <c r="C30" t="inlineStr">
        <is>
          <t>$</t>
        </is>
      </c>
    </row>
    <row r="31">
      <c r="A31" t="inlineStr">
        <is>
          <t>TOTAL_FERT_COST</t>
        </is>
      </c>
      <c r="B31">
        <f>B22+B23+B24</f>
        <v/>
      </c>
      <c r="C31" t="inlineStr">
        <is>
          <t>$</t>
        </is>
      </c>
    </row>
    <row r="32">
      <c r="A32" t="inlineStr">
        <is>
          <t>PROFIT</t>
        </is>
      </c>
      <c r="B32">
        <f>B30-B31-B12-FIXED_COSTS</f>
        <v/>
      </c>
      <c r="C32" t="inlineStr">
        <is>
          <t>$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tabSelected="1" workbookViewId="0">
      <selection activeCell="B4" sqref="B4"/>
    </sheetView>
  </sheetViews>
  <sheetFormatPr baseColWidth="8" defaultRowHeight="14.4"/>
  <cols>
    <col width="32" customWidth="1" min="1" max="1"/>
    <col width="40" customWidth="1" min="2" max="2"/>
    <col width="35" customWidth="1" min="3" max="3"/>
  </cols>
  <sheetData>
    <row r="1" ht="17.4" customHeight="1">
      <c r="A1" s="4" t="inlineStr">
        <is>
          <t>Decision Variables</t>
        </is>
      </c>
    </row>
    <row r="2">
      <c r="A2" t="inlineStr">
        <is>
          <t>TOMATO_BEDS</t>
        </is>
      </c>
      <c r="B2" t="n">
        <v>10</v>
      </c>
      <c r="C2" t="inlineStr">
        <is>
          <t>beds (Solver changes this)</t>
        </is>
      </c>
    </row>
    <row r="3">
      <c r="A3" t="inlineStr">
        <is>
          <t>CARROT_BEDS</t>
        </is>
      </c>
      <c r="B3" t="n">
        <v>20</v>
      </c>
      <c r="C3" t="inlineStr">
        <is>
          <t>beds (Solver changes this)</t>
        </is>
      </c>
    </row>
    <row r="4">
      <c r="A4" t="inlineStr">
        <is>
          <t>MESCLUN_BEDS</t>
        </is>
      </c>
      <c r="B4" t="n">
        <v>30</v>
      </c>
      <c r="C4" t="inlineStr">
        <is>
          <t>beds (Solver changes this)</t>
        </is>
      </c>
    </row>
    <row r="6" ht="17.4" customHeight="1">
      <c r="A6" s="4" t="inlineStr">
        <is>
          <t>Constraints (Solver setup)</t>
        </is>
      </c>
    </row>
    <row r="7">
      <c r="A7" t="inlineStr">
        <is>
          <t>TOMATO_BEDS &lt;= TOMATO_BED_CAP</t>
        </is>
      </c>
      <c r="B7">
        <f>TOMATO_BEDS&lt;=TOMATO_BED_CAP</f>
        <v/>
      </c>
    </row>
    <row r="8">
      <c r="A8" t="inlineStr">
        <is>
          <t>CARROT_BEDS &lt;= CARROT_BED_CAP</t>
        </is>
      </c>
      <c r="B8">
        <f>CARROT_BEDS&lt;=CARROT_BED_CAP</f>
        <v/>
      </c>
    </row>
    <row r="9">
      <c r="A9" t="inlineStr">
        <is>
          <t>MESCLUN_BEDS &lt;= MESCLUN_BED_CAP</t>
        </is>
      </c>
      <c r="B9">
        <f>MESCLUN_BEDS&lt;=MESCLUN_BED_CAP</f>
        <v/>
      </c>
    </row>
    <row r="10">
      <c r="A10" t="inlineStr">
        <is>
          <t>TOTAL BEDS &lt;= 64</t>
        </is>
      </c>
      <c r="B10">
        <f>(TOMATO_BEDS+CARROT_BEDS+MESCLUN_BEDS)&lt;=TOTAL_BEDS</f>
        <v/>
      </c>
    </row>
    <row r="11">
      <c r="A11" t="inlineStr">
        <is>
          <t>TEMP WORKERS &lt;= 4</t>
        </is>
      </c>
      <c r="B11">
        <f>CostStructure!B20&lt;=TEMP_WORKER_CAP</f>
        <v/>
      </c>
    </row>
    <row r="12">
      <c r="A12" t="inlineStr">
        <is>
          <t>All bed counts are INTEGER</t>
        </is>
      </c>
      <c r="B12" t="inlineStr">
        <is>
          <t>(set in Solver's Add Constraint dialog: int)</t>
        </is>
      </c>
    </row>
    <row r="13" ht="17.4" customHeight="1">
      <c r="A13" s="4" t="n"/>
    </row>
    <row r="14">
      <c r="A14" t="inlineStr">
        <is>
          <t>Objective</t>
        </is>
      </c>
    </row>
    <row r="15">
      <c r="A15" t="inlineStr">
        <is>
          <t>Maximize PROFIT</t>
        </is>
      </c>
      <c r="B15">
        <f>CostStructure!B32</f>
        <v/>
      </c>
    </row>
    <row r="16">
      <c r="A16" t="inlineStr">
        <is>
          <t>By changing:</t>
        </is>
      </c>
      <c r="B16" t="inlineStr">
        <is>
          <t>TOMATO_BEDS, CARROT_BEDS, MESCLUN_BEDS</t>
        </is>
      </c>
    </row>
    <row r="17">
      <c r="A17" t="inlineStr">
        <is>
          <t>Method:</t>
        </is>
      </c>
      <c r="B17" t="inlineStr">
        <is>
          <t>GRG Nonlinear</t>
        </is>
      </c>
    </row>
    <row r="18">
      <c r="A18" t="inlineStr">
        <is>
          <t>PROFIT (mirrored from CostStructure)</t>
        </is>
      </c>
      <c r="B18">
        <f>CostStructure!B32</f>
        <v/>
      </c>
    </row>
    <row r="20">
      <c r="A20" t="inlineStr">
        <is>
          <t>Constraint constants (for Solver, all on this sheet)</t>
        </is>
      </c>
    </row>
    <row r="21">
      <c r="A21" t="inlineStr">
        <is>
          <t>TOMATO_CAP</t>
        </is>
      </c>
      <c r="B21" t="n">
        <v>20</v>
      </c>
    </row>
    <row r="22">
      <c r="A22" t="inlineStr">
        <is>
          <t>CARROT_CAP</t>
        </is>
      </c>
      <c r="B22" t="n">
        <v>20</v>
      </c>
    </row>
    <row r="23">
      <c r="A23" t="inlineStr">
        <is>
          <t>MESCLUN_CAP</t>
        </is>
      </c>
      <c r="B23" t="n">
        <v>30</v>
      </c>
    </row>
    <row r="24">
      <c r="A24" t="inlineStr">
        <is>
          <t>TOTAL_CAP</t>
        </is>
      </c>
      <c r="B24" t="n">
        <v>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4.4"/>
  <cols>
    <col width="17" customWidth="1" min="1" max="7"/>
  </cols>
  <sheetData>
    <row r="1">
      <c r="A1" t="inlineStr">
        <is>
          <t>This sheet builds a standalone (single-crop) marginal cost table for each crop,</t>
        </is>
      </c>
      <c r="B1" t="inlineStr">
        <is>
          <t>beds 1 through cap, ignoring the other two crops and the 64-bed limit.</t>
        </is>
      </c>
    </row>
    <row r="3">
      <c r="A3" s="1" t="inlineStr">
        <is>
          <t>Bed #</t>
        </is>
      </c>
      <c r="B3" s="1" t="inlineStr">
        <is>
          <t>Tomato Labor Hrs</t>
        </is>
      </c>
      <c r="C3" s="1" t="inlineStr">
        <is>
          <t>Tomato MC ($)</t>
        </is>
      </c>
      <c r="D3" s="1" t="inlineStr">
        <is>
          <t>Carrot Labor Hrs</t>
        </is>
      </c>
      <c r="E3" s="1" t="inlineStr">
        <is>
          <t>Carrot MC ($)</t>
        </is>
      </c>
      <c r="F3" s="1" t="inlineStr">
        <is>
          <t>Mesclun Labor Hrs</t>
        </is>
      </c>
      <c r="G3" s="1" t="inlineStr">
        <is>
          <t>Mesclun MC ($)</t>
        </is>
      </c>
    </row>
    <row r="4">
      <c r="A4" t="n">
        <v>1</v>
      </c>
      <c r="B4">
        <f>IF(A4&lt;=TOMATO_BED_CAP,A4*TOMATO_HRS*SEASON_WEEKS*(1+TOMATO_DIM)^A4,"")</f>
        <v/>
      </c>
      <c r="C4">
        <f>(B4*TEMP_RATE+TOMATO_FERT)</f>
        <v/>
      </c>
      <c r="D4">
        <f>IF(A4&lt;=CARROT_BED_CAP,A4*CARROT_HRS*SEASON_WEEKS*(1+CARROT_DIM)^A4,"")</f>
        <v/>
      </c>
      <c r="E4">
        <f>(D4*TEMP_RATE+CARROT_FERT)</f>
        <v/>
      </c>
      <c r="F4">
        <f>A4*MESCLUN_HRS*SEASON_WEEKS*(1+MESCLUN_DIM)^A4</f>
        <v/>
      </c>
      <c r="G4">
        <f>(F4*TEMP_RATE+MESCLUN_FERT)</f>
        <v/>
      </c>
    </row>
    <row r="5">
      <c r="A5" t="n">
        <v>2</v>
      </c>
      <c r="B5">
        <f>IF(A5&lt;=TOMATO_BED_CAP,A5*TOMATO_HRS*SEASON_WEEKS*(1+TOMATO_DIM)^A5,"")</f>
        <v/>
      </c>
      <c r="C5">
        <f>((B5-B4)*TEMP_RATE+TOMATO_FERT)</f>
        <v/>
      </c>
      <c r="D5">
        <f>IF(A5&lt;=CARROT_BED_CAP,A5*CARROT_HRS*SEASON_WEEKS*(1+CARROT_DIM)^A5,"")</f>
        <v/>
      </c>
      <c r="E5">
        <f>((D5-D4)*TEMP_RATE+CARROT_FERT)</f>
        <v/>
      </c>
      <c r="F5">
        <f>A5*MESCLUN_HRS*SEASON_WEEKS*(1+MESCLUN_DIM)^A5</f>
        <v/>
      </c>
      <c r="G5">
        <f>((F5-F4)*TEMP_RATE+MESCLUN_FERT)</f>
        <v/>
      </c>
    </row>
    <row r="6">
      <c r="A6" t="n">
        <v>3</v>
      </c>
      <c r="B6">
        <f>IF(A6&lt;=TOMATO_BED_CAP,A6*TOMATO_HRS*SEASON_WEEKS*(1+TOMATO_DIM)^A6,"")</f>
        <v/>
      </c>
      <c r="C6">
        <f>((B6-B5)*TEMP_RATE+TOMATO_FERT)</f>
        <v/>
      </c>
      <c r="D6">
        <f>IF(A6&lt;=CARROT_BED_CAP,A6*CARROT_HRS*SEASON_WEEKS*(1+CARROT_DIM)^A6,"")</f>
        <v/>
      </c>
      <c r="E6">
        <f>((D6-D5)*TEMP_RATE+CARROT_FERT)</f>
        <v/>
      </c>
      <c r="F6">
        <f>A6*MESCLUN_HRS*SEASON_WEEKS*(1+MESCLUN_DIM)^A6</f>
        <v/>
      </c>
      <c r="G6">
        <f>((F6-F5)*TEMP_RATE+MESCLUN_FERT)</f>
        <v/>
      </c>
    </row>
    <row r="7">
      <c r="A7" t="n">
        <v>4</v>
      </c>
      <c r="B7">
        <f>IF(A7&lt;=TOMATO_BED_CAP,A7*TOMATO_HRS*SEASON_WEEKS*(1+TOMATO_DIM)^A7,"")</f>
        <v/>
      </c>
      <c r="C7">
        <f>((B7-B6)*TEMP_RATE+TOMATO_FERT)</f>
        <v/>
      </c>
      <c r="D7">
        <f>IF(A7&lt;=CARROT_BED_CAP,A7*CARROT_HRS*SEASON_WEEKS*(1+CARROT_DIM)^A7,"")</f>
        <v/>
      </c>
      <c r="E7">
        <f>((D7-D6)*TEMP_RATE+CARROT_FERT)</f>
        <v/>
      </c>
      <c r="F7">
        <f>A7*MESCLUN_HRS*SEASON_WEEKS*(1+MESCLUN_DIM)^A7</f>
        <v/>
      </c>
      <c r="G7">
        <f>((F7-F6)*TEMP_RATE+MESCLUN_FERT)</f>
        <v/>
      </c>
    </row>
    <row r="8">
      <c r="A8" t="n">
        <v>5</v>
      </c>
      <c r="B8">
        <f>IF(A8&lt;=TOMATO_BED_CAP,A8*TOMATO_HRS*SEASON_WEEKS*(1+TOMATO_DIM)^A8,"")</f>
        <v/>
      </c>
      <c r="C8">
        <f>((B8-B7)*TEMP_RATE+TOMATO_FERT)</f>
        <v/>
      </c>
      <c r="D8">
        <f>IF(A8&lt;=CARROT_BED_CAP,A8*CARROT_HRS*SEASON_WEEKS*(1+CARROT_DIM)^A8,"")</f>
        <v/>
      </c>
      <c r="E8">
        <f>((D8-D7)*TEMP_RATE+CARROT_FERT)</f>
        <v/>
      </c>
      <c r="F8">
        <f>A8*MESCLUN_HRS*SEASON_WEEKS*(1+MESCLUN_DIM)^A8</f>
        <v/>
      </c>
      <c r="G8">
        <f>((F8-F7)*TEMP_RATE+MESCLUN_FERT)</f>
        <v/>
      </c>
    </row>
    <row r="9">
      <c r="A9" t="n">
        <v>6</v>
      </c>
      <c r="B9">
        <f>IF(A9&lt;=TOMATO_BED_CAP,A9*TOMATO_HRS*SEASON_WEEKS*(1+TOMATO_DIM)^A9,"")</f>
        <v/>
      </c>
      <c r="C9">
        <f>((B9-B8)*TEMP_RATE+TOMATO_FERT)</f>
        <v/>
      </c>
      <c r="D9">
        <f>IF(A9&lt;=CARROT_BED_CAP,A9*CARROT_HRS*SEASON_WEEKS*(1+CARROT_DIM)^A9,"")</f>
        <v/>
      </c>
      <c r="E9">
        <f>((D9-D8)*TEMP_RATE+CARROT_FERT)</f>
        <v/>
      </c>
      <c r="F9">
        <f>A9*MESCLUN_HRS*SEASON_WEEKS*(1+MESCLUN_DIM)^A9</f>
        <v/>
      </c>
      <c r="G9">
        <f>((F9-F8)*TEMP_RATE+MESCLUN_FERT)</f>
        <v/>
      </c>
    </row>
    <row r="10">
      <c r="A10" t="n">
        <v>7</v>
      </c>
      <c r="B10">
        <f>IF(A10&lt;=TOMATO_BED_CAP,A10*TOMATO_HRS*SEASON_WEEKS*(1+TOMATO_DIM)^A10,"")</f>
        <v/>
      </c>
      <c r="C10">
        <f>((B10-B9)*TEMP_RATE+TOMATO_FERT)</f>
        <v/>
      </c>
      <c r="D10">
        <f>IF(A10&lt;=CARROT_BED_CAP,A10*CARROT_HRS*SEASON_WEEKS*(1+CARROT_DIM)^A10,"")</f>
        <v/>
      </c>
      <c r="E10">
        <f>((D10-D9)*TEMP_RATE+CARROT_FERT)</f>
        <v/>
      </c>
      <c r="F10">
        <f>A10*MESCLUN_HRS*SEASON_WEEKS*(1+MESCLUN_DIM)^A10</f>
        <v/>
      </c>
      <c r="G10">
        <f>((F10-F9)*TEMP_RATE+MESCLUN_FERT)</f>
        <v/>
      </c>
    </row>
    <row r="11">
      <c r="A11" t="n">
        <v>8</v>
      </c>
      <c r="B11">
        <f>IF(A11&lt;=TOMATO_BED_CAP,A11*TOMATO_HRS*SEASON_WEEKS*(1+TOMATO_DIM)^A11,"")</f>
        <v/>
      </c>
      <c r="C11">
        <f>((B11-B10)*TEMP_RATE+TOMATO_FERT)</f>
        <v/>
      </c>
      <c r="D11">
        <f>IF(A11&lt;=CARROT_BED_CAP,A11*CARROT_HRS*SEASON_WEEKS*(1+CARROT_DIM)^A11,"")</f>
        <v/>
      </c>
      <c r="E11">
        <f>((D11-D10)*TEMP_RATE+CARROT_FERT)</f>
        <v/>
      </c>
      <c r="F11">
        <f>A11*MESCLUN_HRS*SEASON_WEEKS*(1+MESCLUN_DIM)^A11</f>
        <v/>
      </c>
      <c r="G11">
        <f>((F11-F10)*TEMP_RATE+MESCLUN_FERT)</f>
        <v/>
      </c>
    </row>
    <row r="12">
      <c r="A12" t="n">
        <v>9</v>
      </c>
      <c r="B12">
        <f>IF(A12&lt;=TOMATO_BED_CAP,A12*TOMATO_HRS*SEASON_WEEKS*(1+TOMATO_DIM)^A12,"")</f>
        <v/>
      </c>
      <c r="C12">
        <f>((B12-B11)*TEMP_RATE+TOMATO_FERT)</f>
        <v/>
      </c>
      <c r="D12">
        <f>IF(A12&lt;=CARROT_BED_CAP,A12*CARROT_HRS*SEASON_WEEKS*(1+CARROT_DIM)^A12,"")</f>
        <v/>
      </c>
      <c r="E12">
        <f>((D12-D11)*TEMP_RATE+CARROT_FERT)</f>
        <v/>
      </c>
      <c r="F12">
        <f>A12*MESCLUN_HRS*SEASON_WEEKS*(1+MESCLUN_DIM)^A12</f>
        <v/>
      </c>
      <c r="G12">
        <f>((F12-F11)*TEMP_RATE+MESCLUN_FERT)</f>
        <v/>
      </c>
    </row>
    <row r="13">
      <c r="A13" t="n">
        <v>10</v>
      </c>
      <c r="B13">
        <f>IF(A13&lt;=TOMATO_BED_CAP,A13*TOMATO_HRS*SEASON_WEEKS*(1+TOMATO_DIM)^A13,"")</f>
        <v/>
      </c>
      <c r="C13">
        <f>((B13-B12)*TEMP_RATE+TOMATO_FERT)</f>
        <v/>
      </c>
      <c r="D13">
        <f>IF(A13&lt;=CARROT_BED_CAP,A13*CARROT_HRS*SEASON_WEEKS*(1+CARROT_DIM)^A13,"")</f>
        <v/>
      </c>
      <c r="E13">
        <f>((D13-D12)*TEMP_RATE+CARROT_FERT)</f>
        <v/>
      </c>
      <c r="F13">
        <f>A13*MESCLUN_HRS*SEASON_WEEKS*(1+MESCLUN_DIM)^A13</f>
        <v/>
      </c>
      <c r="G13">
        <f>((F13-F12)*TEMP_RATE+MESCLUN_FERT)</f>
        <v/>
      </c>
    </row>
    <row r="14">
      <c r="A14" t="n">
        <v>11</v>
      </c>
      <c r="B14">
        <f>IF(A14&lt;=TOMATO_BED_CAP,A14*TOMATO_HRS*SEASON_WEEKS*(1+TOMATO_DIM)^A14,"")</f>
        <v/>
      </c>
      <c r="C14">
        <f>((B14-B13)*TEMP_RATE+TOMATO_FERT)</f>
        <v/>
      </c>
      <c r="D14">
        <f>IF(A14&lt;=CARROT_BED_CAP,A14*CARROT_HRS*SEASON_WEEKS*(1+CARROT_DIM)^A14,"")</f>
        <v/>
      </c>
      <c r="E14">
        <f>((D14-D13)*TEMP_RATE+CARROT_FERT)</f>
        <v/>
      </c>
      <c r="F14">
        <f>A14*MESCLUN_HRS*SEASON_WEEKS*(1+MESCLUN_DIM)^A14</f>
        <v/>
      </c>
      <c r="G14">
        <f>((F14-F13)*TEMP_RATE+MESCLUN_FERT)</f>
        <v/>
      </c>
    </row>
    <row r="15">
      <c r="A15" t="n">
        <v>12</v>
      </c>
      <c r="B15">
        <f>IF(A15&lt;=TOMATO_BED_CAP,A15*TOMATO_HRS*SEASON_WEEKS*(1+TOMATO_DIM)^A15,"")</f>
        <v/>
      </c>
      <c r="C15">
        <f>((B15-B14)*TEMP_RATE+TOMATO_FERT)</f>
        <v/>
      </c>
      <c r="D15">
        <f>IF(A15&lt;=CARROT_BED_CAP,A15*CARROT_HRS*SEASON_WEEKS*(1+CARROT_DIM)^A15,"")</f>
        <v/>
      </c>
      <c r="E15">
        <f>((D15-D14)*TEMP_RATE+CARROT_FERT)</f>
        <v/>
      </c>
      <c r="F15">
        <f>A15*MESCLUN_HRS*SEASON_WEEKS*(1+MESCLUN_DIM)^A15</f>
        <v/>
      </c>
      <c r="G15">
        <f>((F15-F14)*TEMP_RATE+MESCLUN_FERT)</f>
        <v/>
      </c>
    </row>
    <row r="16">
      <c r="A16" t="n">
        <v>13</v>
      </c>
      <c r="B16">
        <f>IF(A16&lt;=TOMATO_BED_CAP,A16*TOMATO_HRS*SEASON_WEEKS*(1+TOMATO_DIM)^A16,"")</f>
        <v/>
      </c>
      <c r="C16">
        <f>((B16-B15)*TEMP_RATE+TOMATO_FERT)</f>
        <v/>
      </c>
      <c r="D16">
        <f>IF(A16&lt;=CARROT_BED_CAP,A16*CARROT_HRS*SEASON_WEEKS*(1+CARROT_DIM)^A16,"")</f>
        <v/>
      </c>
      <c r="E16">
        <f>((D16-D15)*TEMP_RATE+CARROT_FERT)</f>
        <v/>
      </c>
      <c r="F16">
        <f>A16*MESCLUN_HRS*SEASON_WEEKS*(1+MESCLUN_DIM)^A16</f>
        <v/>
      </c>
      <c r="G16">
        <f>((F16-F15)*TEMP_RATE+MESCLUN_FERT)</f>
        <v/>
      </c>
    </row>
    <row r="17">
      <c r="A17" t="n">
        <v>14</v>
      </c>
      <c r="B17">
        <f>IF(A17&lt;=TOMATO_BED_CAP,A17*TOMATO_HRS*SEASON_WEEKS*(1+TOMATO_DIM)^A17,"")</f>
        <v/>
      </c>
      <c r="C17">
        <f>((B17-B16)*TEMP_RATE+TOMATO_FERT)</f>
        <v/>
      </c>
      <c r="D17">
        <f>IF(A17&lt;=CARROT_BED_CAP,A17*CARROT_HRS*SEASON_WEEKS*(1+CARROT_DIM)^A17,"")</f>
        <v/>
      </c>
      <c r="E17">
        <f>((D17-D16)*TEMP_RATE+CARROT_FERT)</f>
        <v/>
      </c>
      <c r="F17">
        <f>A17*MESCLUN_HRS*SEASON_WEEKS*(1+MESCLUN_DIM)^A17</f>
        <v/>
      </c>
      <c r="G17">
        <f>((F17-F16)*TEMP_RATE+MESCLUN_FERT)</f>
        <v/>
      </c>
    </row>
    <row r="18">
      <c r="A18" t="n">
        <v>15</v>
      </c>
      <c r="B18">
        <f>IF(A18&lt;=TOMATO_BED_CAP,A18*TOMATO_HRS*SEASON_WEEKS*(1+TOMATO_DIM)^A18,"")</f>
        <v/>
      </c>
      <c r="C18">
        <f>((B18-B17)*TEMP_RATE+TOMATO_FERT)</f>
        <v/>
      </c>
      <c r="D18">
        <f>IF(A18&lt;=CARROT_BED_CAP,A18*CARROT_HRS*SEASON_WEEKS*(1+CARROT_DIM)^A18,"")</f>
        <v/>
      </c>
      <c r="E18">
        <f>((D18-D17)*TEMP_RATE+CARROT_FERT)</f>
        <v/>
      </c>
      <c r="F18">
        <f>A18*MESCLUN_HRS*SEASON_WEEKS*(1+MESCLUN_DIM)^A18</f>
        <v/>
      </c>
      <c r="G18">
        <f>((F18-F17)*TEMP_RATE+MESCLUN_FERT)</f>
        <v/>
      </c>
    </row>
    <row r="19">
      <c r="A19" t="n">
        <v>16</v>
      </c>
      <c r="B19">
        <f>IF(A19&lt;=TOMATO_BED_CAP,A19*TOMATO_HRS*SEASON_WEEKS*(1+TOMATO_DIM)^A19,"")</f>
        <v/>
      </c>
      <c r="C19">
        <f>((B19-B18)*TEMP_RATE+TOMATO_FERT)</f>
        <v/>
      </c>
      <c r="D19">
        <f>IF(A19&lt;=CARROT_BED_CAP,A19*CARROT_HRS*SEASON_WEEKS*(1+CARROT_DIM)^A19,"")</f>
        <v/>
      </c>
      <c r="E19">
        <f>((D19-D18)*TEMP_RATE+CARROT_FERT)</f>
        <v/>
      </c>
      <c r="F19">
        <f>A19*MESCLUN_HRS*SEASON_WEEKS*(1+MESCLUN_DIM)^A19</f>
        <v/>
      </c>
      <c r="G19">
        <f>((F19-F18)*TEMP_RATE+MESCLUN_FERT)</f>
        <v/>
      </c>
    </row>
    <row r="20">
      <c r="A20" t="n">
        <v>17</v>
      </c>
      <c r="B20">
        <f>IF(A20&lt;=TOMATO_BED_CAP,A20*TOMATO_HRS*SEASON_WEEKS*(1+TOMATO_DIM)^A20,"")</f>
        <v/>
      </c>
      <c r="C20">
        <f>((B20-B19)*TEMP_RATE+TOMATO_FERT)</f>
        <v/>
      </c>
      <c r="D20">
        <f>IF(A20&lt;=CARROT_BED_CAP,A20*CARROT_HRS*SEASON_WEEKS*(1+CARROT_DIM)^A20,"")</f>
        <v/>
      </c>
      <c r="E20">
        <f>((D20-D19)*TEMP_RATE+CARROT_FERT)</f>
        <v/>
      </c>
      <c r="F20">
        <f>A20*MESCLUN_HRS*SEASON_WEEKS*(1+MESCLUN_DIM)^A20</f>
        <v/>
      </c>
      <c r="G20">
        <f>((F20-F19)*TEMP_RATE+MESCLUN_FERT)</f>
        <v/>
      </c>
    </row>
    <row r="21">
      <c r="A21" t="n">
        <v>18</v>
      </c>
      <c r="B21">
        <f>IF(A21&lt;=TOMATO_BED_CAP,A21*TOMATO_HRS*SEASON_WEEKS*(1+TOMATO_DIM)^A21,"")</f>
        <v/>
      </c>
      <c r="C21">
        <f>((B21-B20)*TEMP_RATE+TOMATO_FERT)</f>
        <v/>
      </c>
      <c r="D21">
        <f>IF(A21&lt;=CARROT_BED_CAP,A21*CARROT_HRS*SEASON_WEEKS*(1+CARROT_DIM)^A21,"")</f>
        <v/>
      </c>
      <c r="E21">
        <f>((D21-D20)*TEMP_RATE+CARROT_FERT)</f>
        <v/>
      </c>
      <c r="F21">
        <f>A21*MESCLUN_HRS*SEASON_WEEKS*(1+MESCLUN_DIM)^A21</f>
        <v/>
      </c>
      <c r="G21">
        <f>((F21-F20)*TEMP_RATE+MESCLUN_FERT)</f>
        <v/>
      </c>
    </row>
    <row r="22">
      <c r="A22" t="n">
        <v>19</v>
      </c>
      <c r="B22">
        <f>IF(A22&lt;=TOMATO_BED_CAP,A22*TOMATO_HRS*SEASON_WEEKS*(1+TOMATO_DIM)^A22,"")</f>
        <v/>
      </c>
      <c r="C22">
        <f>((B22-B21)*TEMP_RATE+TOMATO_FERT)</f>
        <v/>
      </c>
      <c r="D22">
        <f>IF(A22&lt;=CARROT_BED_CAP,A22*CARROT_HRS*SEASON_WEEKS*(1+CARROT_DIM)^A22,"")</f>
        <v/>
      </c>
      <c r="E22">
        <f>((D22-D21)*TEMP_RATE+CARROT_FERT)</f>
        <v/>
      </c>
      <c r="F22">
        <f>A22*MESCLUN_HRS*SEASON_WEEKS*(1+MESCLUN_DIM)^A22</f>
        <v/>
      </c>
      <c r="G22">
        <f>((F22-F21)*TEMP_RATE+MESCLUN_FERT)</f>
        <v/>
      </c>
    </row>
    <row r="23">
      <c r="A23" t="n">
        <v>20</v>
      </c>
      <c r="B23">
        <f>IF(A23&lt;=TOMATO_BED_CAP,A23*TOMATO_HRS*SEASON_WEEKS*(1+TOMATO_DIM)^A23,"")</f>
        <v/>
      </c>
      <c r="C23">
        <f>((B23-B22)*TEMP_RATE+TOMATO_FERT)</f>
        <v/>
      </c>
      <c r="D23">
        <f>IF(A23&lt;=CARROT_BED_CAP,A23*CARROT_HRS*SEASON_WEEKS*(1+CARROT_DIM)^A23,"")</f>
        <v/>
      </c>
      <c r="E23">
        <f>((D23-D22)*TEMP_RATE+CARROT_FERT)</f>
        <v/>
      </c>
      <c r="F23">
        <f>A23*MESCLUN_HRS*SEASON_WEEKS*(1+MESCLUN_DIM)^A23</f>
        <v/>
      </c>
      <c r="G23">
        <f>((F23-F22)*TEMP_RATE+MESCLUN_FERT)</f>
        <v/>
      </c>
    </row>
    <row r="24">
      <c r="A24" t="n">
        <v>21</v>
      </c>
      <c r="F24">
        <f>A24*MESCLUN_HRS*SEASON_WEEKS*(1+MESCLUN_DIM)^A24</f>
        <v/>
      </c>
      <c r="G24">
        <f>((F24-F23)*TEMP_RATE+MESCLUN_FERT)</f>
        <v/>
      </c>
    </row>
    <row r="25">
      <c r="A25" t="n">
        <v>22</v>
      </c>
      <c r="F25">
        <f>A25*MESCLUN_HRS*SEASON_WEEKS*(1+MESCLUN_DIM)^A25</f>
        <v/>
      </c>
      <c r="G25">
        <f>((F25-F24)*TEMP_RATE+MESCLUN_FERT)</f>
        <v/>
      </c>
    </row>
    <row r="26">
      <c r="A26" t="n">
        <v>23</v>
      </c>
      <c r="F26">
        <f>A26*MESCLUN_HRS*SEASON_WEEKS*(1+MESCLUN_DIM)^A26</f>
        <v/>
      </c>
      <c r="G26">
        <f>((F26-F25)*TEMP_RATE+MESCLUN_FERT)</f>
        <v/>
      </c>
    </row>
    <row r="27">
      <c r="A27" t="n">
        <v>24</v>
      </c>
      <c r="F27">
        <f>A27*MESCLUN_HRS*SEASON_WEEKS*(1+MESCLUN_DIM)^A27</f>
        <v/>
      </c>
      <c r="G27">
        <f>((F27-F26)*TEMP_RATE+MESCLUN_FERT)</f>
        <v/>
      </c>
    </row>
    <row r="28">
      <c r="A28" t="n">
        <v>25</v>
      </c>
      <c r="F28">
        <f>A28*MESCLUN_HRS*SEASON_WEEKS*(1+MESCLUN_DIM)^A28</f>
        <v/>
      </c>
      <c r="G28">
        <f>((F28-F27)*TEMP_RATE+MESCLUN_FERT)</f>
        <v/>
      </c>
    </row>
    <row r="29">
      <c r="A29" t="n">
        <v>26</v>
      </c>
      <c r="F29">
        <f>A29*MESCLUN_HRS*SEASON_WEEKS*(1+MESCLUN_DIM)^A29</f>
        <v/>
      </c>
      <c r="G29">
        <f>((F29-F28)*TEMP_RATE+MESCLUN_FERT)</f>
        <v/>
      </c>
    </row>
    <row r="30">
      <c r="A30" t="n">
        <v>27</v>
      </c>
      <c r="F30">
        <f>A30*MESCLUN_HRS*SEASON_WEEKS*(1+MESCLUN_DIM)^A30</f>
        <v/>
      </c>
      <c r="G30">
        <f>((F30-F29)*TEMP_RATE+MESCLUN_FERT)</f>
        <v/>
      </c>
    </row>
    <row r="31">
      <c r="A31" t="n">
        <v>28</v>
      </c>
      <c r="F31">
        <f>A31*MESCLUN_HRS*SEASON_WEEKS*(1+MESCLUN_DIM)^A31</f>
        <v/>
      </c>
      <c r="G31">
        <f>((F31-F30)*TEMP_RATE+MESCLUN_FERT)</f>
        <v/>
      </c>
    </row>
    <row r="32">
      <c r="A32" t="n">
        <v>29</v>
      </c>
      <c r="F32">
        <f>A32*MESCLUN_HRS*SEASON_WEEKS*(1+MESCLUN_DIM)^A32</f>
        <v/>
      </c>
      <c r="G32">
        <f>((F32-F31)*TEMP_RATE+MESCLUN_FERT)</f>
        <v/>
      </c>
    </row>
    <row r="33">
      <c r="A33" t="n">
        <v>30</v>
      </c>
      <c r="F33">
        <f>A33*MESCLUN_HRS*SEASON_WEEKS*(1+MESCLUN_DIM)^A33</f>
        <v/>
      </c>
      <c r="G33">
        <f>((F33-F32)*TEMP_RATE+MESCLUN_FERT)</f>
        <v/>
      </c>
    </row>
    <row r="35">
      <c r="A35" t="inlineStr">
        <is>
          <t>NOTE: this standalone schedule approximates marginal labor cost at the TEMP_RATE</t>
        </is>
      </c>
      <c r="B35" t="inlineStr">
        <is>
          <t>(the marginal hour is a temp-worker hour in most realistic ranges). Cross-check against</t>
        </is>
      </c>
      <c r="C35" t="inlineStr">
        <is>
          <t>the Farm Profit Lab and note any material difference in your audit.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4.4"/>
  <cols>
    <col width="35" customWidth="1" min="1" max="1"/>
    <col width="16" customWidth="1" min="2" max="2"/>
    <col width="45" customWidth="1" min="3" max="3"/>
    <col width="10" customWidth="1" min="4" max="4"/>
  </cols>
  <sheetData>
    <row r="1">
      <c r="A1" s="1" t="inlineStr">
        <is>
          <t>Validation Rule</t>
        </is>
      </c>
      <c r="B1" s="1" t="inlineStr">
        <is>
          <t>Expected</t>
        </is>
      </c>
      <c r="C1" s="1" t="inlineStr">
        <is>
          <t>Actual / Formula</t>
        </is>
      </c>
      <c r="D1" s="1" t="inlineStr">
        <is>
          <t>Pass?</t>
        </is>
      </c>
    </row>
    <row r="2">
      <c r="A2" t="inlineStr">
        <is>
          <t>q=1 hand check (Tomato)</t>
        </is>
      </c>
      <c r="B2" t="n">
        <v>99</v>
      </c>
      <c r="C2">
        <f>1*TOMATO_HRS*SEASON_WEEKS*(1+TOMATO_DIM)^1</f>
        <v/>
      </c>
      <c r="D2">
        <f>C2=B2</f>
        <v/>
      </c>
    </row>
    <row r="3">
      <c r="A3" t="inlineStr">
        <is>
          <t>No idle beds beyond cap logic</t>
        </is>
      </c>
      <c r="B3" t="inlineStr">
        <is>
          <t>&lt;=64</t>
        </is>
      </c>
      <c r="C3">
        <f>TOMATO_BEDS+CARROT_BEDS+MESCLUN_BEDS</f>
        <v/>
      </c>
      <c r="D3">
        <f>C3&lt;=TOTAL_BEDS</f>
        <v/>
      </c>
    </row>
    <row r="4">
      <c r="A4" t="inlineStr">
        <is>
          <t>Tomato beds within cap</t>
        </is>
      </c>
      <c r="B4" t="inlineStr">
        <is>
          <t>&lt;=20</t>
        </is>
      </c>
      <c r="C4">
        <f>TOMATO_BEDS</f>
        <v/>
      </c>
      <c r="D4">
        <f>C4&lt;=TOMATO_BED_CAP</f>
        <v/>
      </c>
    </row>
    <row r="5">
      <c r="A5" t="inlineStr">
        <is>
          <t>Carrot beds within cap</t>
        </is>
      </c>
      <c r="B5" t="inlineStr">
        <is>
          <t>&lt;=20</t>
        </is>
      </c>
      <c r="C5">
        <f>CARROT_BEDS</f>
        <v/>
      </c>
      <c r="D5">
        <f>C5&lt;=CARROT_BED_CAP</f>
        <v/>
      </c>
    </row>
    <row r="6">
      <c r="A6" t="inlineStr">
        <is>
          <t>Mesclun beds within cap</t>
        </is>
      </c>
      <c r="B6" t="inlineStr">
        <is>
          <t>&lt;=30</t>
        </is>
      </c>
      <c r="C6">
        <f>MESCLUN_BEDS</f>
        <v/>
      </c>
      <c r="D6">
        <f>C6&lt;=MESCLUN_BED_CAP</f>
        <v/>
      </c>
    </row>
    <row r="7">
      <c r="A7" t="inlineStr">
        <is>
          <t>Temp workers within cap</t>
        </is>
      </c>
      <c r="B7" t="inlineStr">
        <is>
          <t>&lt;=4</t>
        </is>
      </c>
      <c r="C7">
        <f>CostStructure!B14</f>
        <v/>
      </c>
      <c r="D7">
        <f>C7&lt;=TEMP_WORKER_CAP</f>
        <v/>
      </c>
    </row>
    <row r="8">
      <c r="A8" t="inlineStr">
        <is>
          <t>Check figure: optimal mix</t>
        </is>
      </c>
      <c r="B8" t="inlineStr">
        <is>
          <t>10 / 20 / 30</t>
        </is>
      </c>
      <c r="C8" t="inlineStr">
        <is>
          <t>(fill in after Solver run)</t>
        </is>
      </c>
    </row>
    <row r="9">
      <c r="A9" t="inlineStr">
        <is>
          <t>Check figure: profit</t>
        </is>
      </c>
      <c r="B9" t="n">
        <v>42762</v>
      </c>
      <c r="C9">
        <f>CostStructure!B32</f>
        <v/>
      </c>
      <c r="D9">
        <f>ROUND(C9,0)=B9</f>
        <v/>
      </c>
    </row>
    <row r="11">
      <c r="A11" t="inlineStr">
        <is>
          <t>Run Solver from 0/0/0 -&gt; record result here:</t>
        </is>
      </c>
    </row>
    <row r="12">
      <c r="A12" t="inlineStr">
        <is>
          <t>Run Solver from 20/0/0 -&gt; record result here:</t>
        </is>
      </c>
    </row>
    <row r="13">
      <c r="A13" t="inlineStr">
        <is>
          <t>Do the two runs agree?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2026-09-09T08:37:10Z</dcterms:created>
  <dcterms:modified xmlns:dcterms="http://purl.org/dc/terms/" xmlns:xsi="http://www.w3.org/2001/XMLSchema-instance" xsi:type="dcterms:W3CDTF">2026-09-29T06:37:11Z</dcterms:modified>
  <cp:lastModifiedBy>Juan Montalvo</cp:lastModifiedBy>
</cp:coreProperties>
</file>