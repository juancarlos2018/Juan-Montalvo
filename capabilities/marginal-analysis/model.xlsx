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ef2638157994097/Desktop/Economics/"/>
    </mc:Choice>
  </mc:AlternateContent>
  <xr:revisionPtr revIDLastSave="0" documentId="8_{B96F9A43-E369-43EC-BBE6-E2F35AF1AF09}" xr6:coauthVersionLast="47" xr6:coauthVersionMax="47" xr10:uidLastSave="{00000000-0000-0000-0000-000000000000}"/>
  <bookViews>
    <workbookView xWindow="19090" yWindow="-110" windowWidth="19420" windowHeight="10300" activeTab="3" xr2:uid="{00000000-000D-0000-FFFF-FFFF00000000}"/>
  </bookViews>
  <sheets>
    <sheet name="Inputs" sheetId="1" r:id="rId1"/>
    <sheet name="CostStructure" sheetId="2" r:id="rId2"/>
    <sheet name="Optimization" sheetId="3" r:id="rId3"/>
    <sheet name="MarginalCostSchedules" sheetId="4" r:id="rId4"/>
    <sheet name="Checks" sheetId="5" r:id="rId5"/>
  </sheets>
  <definedNames>
    <definedName name="CARROT_BED_CAP">Inputs!$B$7</definedName>
    <definedName name="CARROT_BEDS">Optimization!$B$3</definedName>
    <definedName name="CARROT_DIM">Inputs!$B$10</definedName>
    <definedName name="CARROT_FERT">Inputs!$B$11</definedName>
    <definedName name="CARROT_HRS">Inputs!$B$9</definedName>
    <definedName name="CARROT_REVENUE">Inputs!$B$8</definedName>
    <definedName name="FIXED_COSTS">Inputs!$B$19</definedName>
    <definedName name="MESCLUN_BED_CAP">Inputs!$B$12</definedName>
    <definedName name="MESCLUN_BEDS">Optimization!$B$4</definedName>
    <definedName name="MESCLUN_DIM">Inputs!$B$15</definedName>
    <definedName name="MESCLUN_FERT">Inputs!$B$16</definedName>
    <definedName name="MESCLUN_HRS">Inputs!$B$14</definedName>
    <definedName name="MESCLUN_REVENUE">Inputs!$B$13</definedName>
    <definedName name="OWNER_HRS">Inputs!$B$20</definedName>
    <definedName name="OWNER_RATE">Inputs!$B$21</definedName>
    <definedName name="PROFIT_CELL_NOTE">CostStructure!$B$32</definedName>
    <definedName name="SEASON_WEEKS">Inputs!$B$18</definedName>
    <definedName name="solver_adj" localSheetId="2" hidden="1">Optimization!$B$2:$B$4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Optimization!$B$2:$B$4</definedName>
    <definedName name="solver_lhs2" localSheetId="2" hidden="1">Optimization!$B$3</definedName>
    <definedName name="solver_lhs3" localSheetId="2" hidden="1">Optimization!$B$4</definedName>
    <definedName name="solver_lhs4" localSheetId="2" hidden="1">Optimization!$B$2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Optimization!$B$18</definedName>
    <definedName name="solver_pre" localSheetId="2" hidden="1">0.000001</definedName>
    <definedName name="solver_rbv" localSheetId="2" hidden="1">1</definedName>
    <definedName name="solver_rel1" localSheetId="2" hidden="1">4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hs1" localSheetId="2" hidden="1">"integer"</definedName>
    <definedName name="solver_rhs2" localSheetId="2" hidden="1">Optimization!$B$22</definedName>
    <definedName name="solver_rhs3" localSheetId="2" hidden="1">Optimization!$B$23</definedName>
    <definedName name="solver_rhs4" localSheetId="2" hidden="1">Optimization!$B$21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TEMP_HRS_EACH">Inputs!$B$23</definedName>
    <definedName name="TEMP_RATE">Inputs!$B$24</definedName>
    <definedName name="TEMP_WORKER_CAP">Inputs!$B$22</definedName>
    <definedName name="TOMATO_BED_CAP">Inputs!$B$2</definedName>
    <definedName name="TOMATO_BEDS">Optimization!$B$2</definedName>
    <definedName name="TOMATO_DIM">Inputs!$B$5</definedName>
    <definedName name="TOMATO_FERT">Inputs!$B$6</definedName>
    <definedName name="TOMATO_HRS">Inputs!$B$4</definedName>
    <definedName name="TOMATO_REVENUE">Inputs!$B$3</definedName>
    <definedName name="TOTAL_BEDS">Inputs!$B$17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D6" i="5" s="1"/>
  <c r="C5" i="5"/>
  <c r="D5" i="5" s="1"/>
  <c r="C4" i="5"/>
  <c r="D4" i="5" s="1"/>
  <c r="C3" i="5"/>
  <c r="D3" i="5" s="1"/>
  <c r="C2" i="5"/>
  <c r="D2" i="5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B23" i="4"/>
  <c r="F22" i="4"/>
  <c r="G22" i="4" s="1"/>
  <c r="B22" i="4"/>
  <c r="C22" i="4" s="1"/>
  <c r="F21" i="4"/>
  <c r="B21" i="4"/>
  <c r="I20" i="4"/>
  <c r="F20" i="4"/>
  <c r="G20" i="4" s="1"/>
  <c r="D20" i="4"/>
  <c r="E20" i="4" s="1"/>
  <c r="B20" i="4"/>
  <c r="C20" i="4" s="1"/>
  <c r="F19" i="4"/>
  <c r="D19" i="4"/>
  <c r="B19" i="4"/>
  <c r="F18" i="4"/>
  <c r="G18" i="4" s="1"/>
  <c r="B18" i="4"/>
  <c r="C18" i="4" s="1"/>
  <c r="F17" i="4"/>
  <c r="B17" i="4"/>
  <c r="C17" i="4" s="1"/>
  <c r="I16" i="4"/>
  <c r="F16" i="4"/>
  <c r="G16" i="4" s="1"/>
  <c r="B16" i="4"/>
  <c r="F15" i="4"/>
  <c r="B15" i="4"/>
  <c r="C16" i="4" s="1"/>
  <c r="F14" i="4"/>
  <c r="G14" i="4" s="1"/>
  <c r="B14" i="4"/>
  <c r="C14" i="4" s="1"/>
  <c r="I13" i="4"/>
  <c r="F13" i="4"/>
  <c r="G13" i="4" s="1"/>
  <c r="B13" i="4"/>
  <c r="I12" i="4"/>
  <c r="F12" i="4"/>
  <c r="D12" i="4"/>
  <c r="B12" i="4"/>
  <c r="C12" i="4" s="1"/>
  <c r="F11" i="4"/>
  <c r="G12" i="4" s="1"/>
  <c r="B11" i="4"/>
  <c r="F10" i="4"/>
  <c r="G10" i="4" s="1"/>
  <c r="B10" i="4"/>
  <c r="C10" i="4" s="1"/>
  <c r="F9" i="4"/>
  <c r="D9" i="4"/>
  <c r="B9" i="4"/>
  <c r="C9" i="4" s="1"/>
  <c r="I8" i="4"/>
  <c r="F8" i="4"/>
  <c r="G8" i="4" s="1"/>
  <c r="B8" i="4"/>
  <c r="F7" i="4"/>
  <c r="B7" i="4"/>
  <c r="C8" i="4" s="1"/>
  <c r="F6" i="4"/>
  <c r="G6" i="4" s="1"/>
  <c r="B6" i="4"/>
  <c r="C6" i="4" s="1"/>
  <c r="I5" i="4"/>
  <c r="F5" i="4"/>
  <c r="G5" i="4" s="1"/>
  <c r="B5" i="4"/>
  <c r="I4" i="4"/>
  <c r="G4" i="4"/>
  <c r="F4" i="4"/>
  <c r="D4" i="4"/>
  <c r="E4" i="4" s="1"/>
  <c r="B4" i="4"/>
  <c r="C4" i="4" s="1"/>
  <c r="B31" i="2"/>
  <c r="B30" i="2"/>
  <c r="B29" i="2"/>
  <c r="B28" i="2"/>
  <c r="B27" i="2"/>
  <c r="B24" i="2"/>
  <c r="B23" i="2"/>
  <c r="B22" i="2"/>
  <c r="B4" i="2"/>
  <c r="B3" i="2"/>
  <c r="B5" i="2" s="1"/>
  <c r="B2" i="2"/>
  <c r="B24" i="1"/>
  <c r="B21" i="1"/>
  <c r="I21" i="4" s="1"/>
  <c r="B9" i="1"/>
  <c r="D17" i="4" s="1"/>
  <c r="B11" i="3"/>
  <c r="B10" i="3"/>
  <c r="B9" i="3"/>
  <c r="B8" i="3"/>
  <c r="B7" i="3"/>
  <c r="B8" i="2" l="1"/>
  <c r="B10" i="2" s="1"/>
  <c r="B9" i="2"/>
  <c r="E17" i="4"/>
  <c r="C23" i="4"/>
  <c r="C7" i="4"/>
  <c r="D8" i="4"/>
  <c r="E8" i="4" s="1"/>
  <c r="G11" i="4"/>
  <c r="D16" i="4"/>
  <c r="E16" i="4" s="1"/>
  <c r="G19" i="4"/>
  <c r="D7" i="4"/>
  <c r="I11" i="4"/>
  <c r="D15" i="4"/>
  <c r="I19" i="4"/>
  <c r="D23" i="4"/>
  <c r="E23" i="4" s="1"/>
  <c r="C5" i="4"/>
  <c r="D6" i="4"/>
  <c r="G9" i="4"/>
  <c r="I10" i="4"/>
  <c r="C13" i="4"/>
  <c r="D14" i="4"/>
  <c r="G17" i="4"/>
  <c r="I18" i="4"/>
  <c r="C21" i="4"/>
  <c r="D22" i="4"/>
  <c r="C15" i="4"/>
  <c r="D5" i="4"/>
  <c r="E5" i="4" s="1"/>
  <c r="I9" i="4"/>
  <c r="D13" i="4"/>
  <c r="E13" i="4" s="1"/>
  <c r="I17" i="4"/>
  <c r="D21" i="4"/>
  <c r="E21" i="4" s="1"/>
  <c r="C19" i="4"/>
  <c r="C11" i="4"/>
  <c r="G15" i="4"/>
  <c r="I23" i="4"/>
  <c r="G7" i="4"/>
  <c r="I7" i="4"/>
  <c r="D11" i="4"/>
  <c r="E11" i="4" s="1"/>
  <c r="I15" i="4"/>
  <c r="I6" i="4"/>
  <c r="D10" i="4"/>
  <c r="E10" i="4" s="1"/>
  <c r="I14" i="4"/>
  <c r="D18" i="4"/>
  <c r="E18" i="4" s="1"/>
  <c r="G21" i="4"/>
  <c r="I22" i="4"/>
  <c r="E7" i="4" l="1"/>
  <c r="E19" i="4"/>
  <c r="E9" i="4"/>
  <c r="E22" i="4"/>
  <c r="E6" i="4"/>
  <c r="E12" i="4"/>
  <c r="B14" i="2"/>
  <c r="C7" i="5" s="1"/>
  <c r="D7" i="5" s="1"/>
  <c r="B11" i="2"/>
  <c r="B12" i="2" s="1"/>
  <c r="E14" i="4"/>
  <c r="E15" i="4"/>
  <c r="B32" i="2" l="1"/>
  <c r="B13" i="2"/>
  <c r="B17" i="2" l="1"/>
  <c r="B18" i="2"/>
  <c r="B19" i="2"/>
  <c r="C9" i="5"/>
  <c r="D9" i="5" s="1"/>
  <c r="B15" i="3"/>
  <c r="B18" i="3"/>
</calcChain>
</file>

<file path=xl/sharedStrings.xml><?xml version="1.0" encoding="utf-8"?>
<sst xmlns="http://schemas.openxmlformats.org/spreadsheetml/2006/main" count="192" uniqueCount="130">
  <si>
    <t>Decision Variables</t>
  </si>
  <si>
    <t>TOMATO_BEDS</t>
  </si>
  <si>
    <t>beds (Solver changes this)</t>
  </si>
  <si>
    <t>CARROT_BEDS</t>
  </si>
  <si>
    <t>MESCLUN_BEDS</t>
  </si>
  <si>
    <t>Constraints (Solver setup)</t>
  </si>
  <si>
    <t>TOMATO_BEDS &lt;= TOMATO_BED_CAP</t>
  </si>
  <si>
    <t>CARROT_BEDS &lt;= CARROT_BED_CAP</t>
  </si>
  <si>
    <t>MESCLUN_BEDS &lt;= MESCLUN_BED_CAP</t>
  </si>
  <si>
    <t>TOTAL BEDS &lt;= 64</t>
  </si>
  <si>
    <t>TEMP WORKERS &lt;= 4</t>
  </si>
  <si>
    <t>All bed counts are INTEGER</t>
  </si>
  <si>
    <t>(set in Solver's Add Constraint dialog: int)</t>
  </si>
  <si>
    <t>Objective</t>
  </si>
  <si>
    <t>Maximize PROFIT</t>
  </si>
  <si>
    <t>By changing:</t>
  </si>
  <si>
    <t>TOMATO_BEDS, CARROT_BEDS, MESCLUN_BEDS</t>
  </si>
  <si>
    <t>Method:</t>
  </si>
  <si>
    <t>GRG Nonlinear</t>
  </si>
  <si>
    <t>PROFIT (mirrored from CostStructure)</t>
  </si>
  <si>
    <t>Constraint constants (for Solver, all on this sheet)</t>
  </si>
  <si>
    <t>TOMATO_CAP</t>
  </si>
  <si>
    <t>CARROT_CAP</t>
  </si>
  <si>
    <t>MESCLUN_CAP</t>
  </si>
  <si>
    <t>TOTAL_CAP</t>
  </si>
  <si>
    <t>Name</t>
  </si>
  <si>
    <t>Value</t>
  </si>
  <si>
    <t>Unit</t>
  </si>
  <si>
    <t>Source</t>
  </si>
  <si>
    <t>TOMATO_BED_CAP</t>
  </si>
  <si>
    <t>beds</t>
  </si>
  <si>
    <t>case givens</t>
  </si>
  <si>
    <t>TOMATO_REVENUE</t>
  </si>
  <si>
    <t>$/bed</t>
  </si>
  <si>
    <t>TOMATO_HRS</t>
  </si>
  <si>
    <t>hrs/wk/bed</t>
  </si>
  <si>
    <t>TOMATO_DIM</t>
  </si>
  <si>
    <t>-</t>
  </si>
  <si>
    <t>TOMATO_FERT</t>
  </si>
  <si>
    <t>CARROT_BED_CAP</t>
  </si>
  <si>
    <t>CARROT_REVENUE</t>
  </si>
  <si>
    <t>CARROT_HRS</t>
  </si>
  <si>
    <t>CARROT_DIM</t>
  </si>
  <si>
    <t>CARROT_FERT</t>
  </si>
  <si>
    <t>MESCLUN_BED_CAP</t>
  </si>
  <si>
    <t>MESCLUN_REVENUE</t>
  </si>
  <si>
    <t>MESCLUN_HRS</t>
  </si>
  <si>
    <t>MESCLUN_DIM</t>
  </si>
  <si>
    <t>MESCLUN_FERT</t>
  </si>
  <si>
    <t>TOTAL_BEDS</t>
  </si>
  <si>
    <t>SEASON_WEEKS</t>
  </si>
  <si>
    <t>weeks</t>
  </si>
  <si>
    <t>FIXED_COSTS</t>
  </si>
  <si>
    <t>$</t>
  </si>
  <si>
    <t>OWNER_HRS</t>
  </si>
  <si>
    <t>hrs</t>
  </si>
  <si>
    <t>OWNER_RATE</t>
  </si>
  <si>
    <t>$/hr</t>
  </si>
  <si>
    <t>TEMP_WORKER_CAP</t>
  </si>
  <si>
    <t>workers</t>
  </si>
  <si>
    <t>TEMP_HRS_EACH</t>
  </si>
  <si>
    <t>TEMP_RATE</t>
  </si>
  <si>
    <t>Labor hours needed</t>
  </si>
  <si>
    <t>TOMATO_LABOR_HRS</t>
  </si>
  <si>
    <t>CARROT_LABOR_HRS</t>
  </si>
  <si>
    <t>MESCLUN_LABOR_HRS</t>
  </si>
  <si>
    <t>TOTAL_LABOR_HRS</t>
  </si>
  <si>
    <t>Labor allocation (owner first, then temp)</t>
  </si>
  <si>
    <t>OWNER_HRS_USED</t>
  </si>
  <si>
    <t>TEMP_HRS_USED</t>
  </si>
  <si>
    <t>OWNER_LABOR_COST</t>
  </si>
  <si>
    <t>TEMP_LABOR_COST</t>
  </si>
  <si>
    <t>TOTAL_LABOR_COST</t>
  </si>
  <si>
    <t>BLENDED_LABOR_RATE</t>
  </si>
  <si>
    <t>TEMP_WORKERS_NEEDED</t>
  </si>
  <si>
    <t>Per-crop labor cost (at blended rate)</t>
  </si>
  <si>
    <t>TOMATO_LABOR_COST</t>
  </si>
  <si>
    <t>CARROT_LABOR_COST</t>
  </si>
  <si>
    <t>MESCLUN_LABOR_COST</t>
  </si>
  <si>
    <t>Fertilizer cost</t>
  </si>
  <si>
    <t>TOMATO_FERT_COST</t>
  </si>
  <si>
    <t>CARROT_FERT_COST</t>
  </si>
  <si>
    <t>MESCLUN_FERT_COST</t>
  </si>
  <si>
    <t>Revenue and profit</t>
  </si>
  <si>
    <t>TOMATO_REVENUE_TOTAL</t>
  </si>
  <si>
    <t>CARROT_REVENUE_TOTAL</t>
  </si>
  <si>
    <t>MESCLUN_REVENUE_TOTAL</t>
  </si>
  <si>
    <t>TOTAL_REVENUE</t>
  </si>
  <si>
    <t>TOTAL_FERT_COST</t>
  </si>
  <si>
    <t>PROFIT</t>
  </si>
  <si>
    <t>This sheet builds a standalone (single-crop) marginal cost table for each crop,</t>
  </si>
  <si>
    <t>beds 1 through cap, ignoring the other two crops and the 64-bed limit.</t>
  </si>
  <si>
    <t>Bed #</t>
  </si>
  <si>
    <t>Tomato Labor Hrs</t>
  </si>
  <si>
    <t>Tomato MC ($)</t>
  </si>
  <si>
    <t>Carrot Labor Hrs</t>
  </si>
  <si>
    <t>Carrot MC ($)</t>
  </si>
  <si>
    <t>Mesclun Labor Hrs</t>
  </si>
  <si>
    <t>Mesclun MC ($)</t>
  </si>
  <si>
    <t>Tomato MC, owner-first ($)</t>
  </si>
  <si>
    <t>NOTE: this standalone schedule approximates marginal labor cost at the TEMP_RATE</t>
  </si>
  <si>
    <t>(the marginal hour is a temp-worker hour in most realistic ranges). Cross-check against</t>
  </si>
  <si>
    <t>the Farm Profit Lab and note any material difference in your audit.</t>
  </si>
  <si>
    <t>NOTE (added during audit): column I prices tomato labor the way spec Section 3 describes: the first OWNER_HRS at OWNER_RATE, any hours after that at TEMP_RATE. It is a tomatoes-grown-alone view.</t>
  </si>
  <si>
    <t>Column C prices every hour at TEMP_RATE, so it never shows the owner-to-temp step-down. The material difference is tomato beds 1-5: owner-first MC peaks at bed 5 ($7,661), then falls at bed 6 ($4,906) once the 720 owner hours are used up.</t>
  </si>
  <si>
    <t>From bed 6 on, columns C and I are identical. Carrot and mesclun are not repeated owner-first here: in the full farm the three crops share the 720 owner hours, so a crop-alone owner-first view would overstate their early-bed costs.</t>
  </si>
  <si>
    <t>Validation Rule</t>
  </si>
  <si>
    <t>Expected</t>
  </si>
  <si>
    <t>Actual / Formula</t>
  </si>
  <si>
    <t>Pass?</t>
  </si>
  <si>
    <t>q=1 hand check (Tomato)</t>
  </si>
  <si>
    <t>No idle beds beyond cap logic</t>
  </si>
  <si>
    <t>&lt;=64</t>
  </si>
  <si>
    <t>Tomato beds within cap</t>
  </si>
  <si>
    <t>&lt;=20</t>
  </si>
  <si>
    <t>Carrot beds within cap</t>
  </si>
  <si>
    <t>Mesclun beds within cap</t>
  </si>
  <si>
    <t>&lt;=30</t>
  </si>
  <si>
    <t>Temp workers within cap</t>
  </si>
  <si>
    <t>&lt;=4</t>
  </si>
  <si>
    <t>Check figure: optimal mix</t>
  </si>
  <si>
    <t>10 / 20 / 30</t>
  </si>
  <si>
    <t>10 / 20 / 30 confirmed by Solver run from 0/0/0</t>
  </si>
  <si>
    <t>Check figure: profit</t>
  </si>
  <si>
    <t>Run Solver from 0/0/0 -&gt; record result here:</t>
  </si>
  <si>
    <t>10 / 20 / 30 beds, profit $42,761.66</t>
  </si>
  <si>
    <t>Run Solver from 20/0/0 -&gt; record result here:</t>
  </si>
  <si>
    <t>20 / 0 / 0 beds (stuck at starting point), profit -$84,334.37</t>
  </si>
  <si>
    <t>Do the two runs agree?</t>
  </si>
  <si>
    <t>No - Solver's answer depends on the starting point. Starting from 0/0/0 finds the correct optimum (10/20/30, profit $42,761.66). Starting from 20/0/0 gets stuck at a worse point (profit -$84,334.37).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</si>
</sst>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/>
  </sheetViews>
  <sheetFormatPr defaultRowHeight="14.4" x14ac:dyDescent="0.3"/>
  <cols>
    <col min="1" max="1" width="20" customWidth="1"/>
    <col min="2" max="2" width="12" customWidth="1"/>
    <col min="3" max="4" width="14" customWidth="1"/>
  </cols>
  <sheetData>
    <row r="1" spans="1:4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">
      <c r="A2" s="2" t="s">
        <v>29</v>
      </c>
      <c r="B2">
        <v>20</v>
      </c>
      <c r="C2" t="s">
        <v>30</v>
      </c>
      <c r="D2" t="s">
        <v>31</v>
      </c>
    </row>
    <row r="3" spans="1:4" x14ac:dyDescent="0.3">
      <c r="A3" s="2" t="s">
        <v>32</v>
      </c>
      <c r="B3">
        <v>8800</v>
      </c>
      <c r="C3" t="s">
        <v>33</v>
      </c>
      <c r="D3" t="s">
        <v>31</v>
      </c>
    </row>
    <row r="4" spans="1:4" x14ac:dyDescent="0.3">
      <c r="A4" s="2" t="s">
        <v>34</v>
      </c>
      <c r="B4">
        <v>2.5</v>
      </c>
      <c r="C4" t="s">
        <v>35</v>
      </c>
      <c r="D4" t="s">
        <v>31</v>
      </c>
    </row>
    <row r="5" spans="1:4" x14ac:dyDescent="0.3">
      <c r="A5" s="2" t="s">
        <v>36</v>
      </c>
      <c r="B5">
        <v>0.1</v>
      </c>
      <c r="C5" t="s">
        <v>37</v>
      </c>
      <c r="D5" t="s">
        <v>31</v>
      </c>
    </row>
    <row r="6" spans="1:4" x14ac:dyDescent="0.3">
      <c r="A6" s="2" t="s">
        <v>38</v>
      </c>
      <c r="B6">
        <v>880</v>
      </c>
      <c r="C6" t="s">
        <v>33</v>
      </c>
      <c r="D6" t="s">
        <v>31</v>
      </c>
    </row>
    <row r="7" spans="1:4" x14ac:dyDescent="0.3">
      <c r="A7" s="2" t="s">
        <v>39</v>
      </c>
      <c r="B7">
        <v>20</v>
      </c>
      <c r="C7" t="s">
        <v>30</v>
      </c>
      <c r="D7" t="s">
        <v>31</v>
      </c>
    </row>
    <row r="8" spans="1:4" x14ac:dyDescent="0.3">
      <c r="A8" s="2" t="s">
        <v>40</v>
      </c>
      <c r="B8">
        <v>2094</v>
      </c>
      <c r="C8" t="s">
        <v>33</v>
      </c>
      <c r="D8" t="s">
        <v>31</v>
      </c>
    </row>
    <row r="9" spans="1:4" x14ac:dyDescent="0.3">
      <c r="A9" s="2" t="s">
        <v>41</v>
      </c>
      <c r="B9">
        <f>2.5/3</f>
        <v>0.83333333333333337</v>
      </c>
      <c r="C9" t="s">
        <v>35</v>
      </c>
      <c r="D9" t="s">
        <v>31</v>
      </c>
    </row>
    <row r="10" spans="1:4" x14ac:dyDescent="0.3">
      <c r="A10" s="2" t="s">
        <v>42</v>
      </c>
      <c r="B10">
        <v>2.5000000000000001E-2</v>
      </c>
      <c r="C10" t="s">
        <v>37</v>
      </c>
      <c r="D10" t="s">
        <v>31</v>
      </c>
    </row>
    <row r="11" spans="1:4" x14ac:dyDescent="0.3">
      <c r="A11" s="2" t="s">
        <v>43</v>
      </c>
      <c r="B11">
        <v>440</v>
      </c>
      <c r="C11" t="s">
        <v>33</v>
      </c>
      <c r="D11" t="s">
        <v>31</v>
      </c>
    </row>
    <row r="12" spans="1:4" x14ac:dyDescent="0.3">
      <c r="A12" s="2" t="s">
        <v>44</v>
      </c>
      <c r="B12">
        <v>30</v>
      </c>
      <c r="C12" t="s">
        <v>30</v>
      </c>
      <c r="D12" t="s">
        <v>31</v>
      </c>
    </row>
    <row r="13" spans="1:4" x14ac:dyDescent="0.3">
      <c r="A13" s="2" t="s">
        <v>45</v>
      </c>
      <c r="B13">
        <v>2700</v>
      </c>
      <c r="C13" t="s">
        <v>33</v>
      </c>
      <c r="D13" t="s">
        <v>31</v>
      </c>
    </row>
    <row r="14" spans="1:4" x14ac:dyDescent="0.3">
      <c r="A14" s="2" t="s">
        <v>46</v>
      </c>
      <c r="B14">
        <v>1.25</v>
      </c>
      <c r="C14" t="s">
        <v>35</v>
      </c>
      <c r="D14" t="s">
        <v>31</v>
      </c>
    </row>
    <row r="15" spans="1:4" x14ac:dyDescent="0.3">
      <c r="A15" s="2" t="s">
        <v>47</v>
      </c>
      <c r="B15">
        <v>1.2500000000000001E-2</v>
      </c>
      <c r="C15" t="s">
        <v>37</v>
      </c>
      <c r="D15" t="s">
        <v>31</v>
      </c>
    </row>
    <row r="16" spans="1:4" x14ac:dyDescent="0.3">
      <c r="A16" s="2" t="s">
        <v>48</v>
      </c>
      <c r="B16">
        <v>880</v>
      </c>
      <c r="C16" t="s">
        <v>33</v>
      </c>
      <c r="D16" t="s">
        <v>31</v>
      </c>
    </row>
    <row r="17" spans="1:4" x14ac:dyDescent="0.3">
      <c r="A17" s="2" t="s">
        <v>49</v>
      </c>
      <c r="B17">
        <v>64</v>
      </c>
      <c r="C17" t="s">
        <v>30</v>
      </c>
      <c r="D17" t="s">
        <v>31</v>
      </c>
    </row>
    <row r="18" spans="1:4" x14ac:dyDescent="0.3">
      <c r="A18" s="2" t="s">
        <v>50</v>
      </c>
      <c r="B18">
        <v>36</v>
      </c>
      <c r="C18" t="s">
        <v>51</v>
      </c>
      <c r="D18" t="s">
        <v>31</v>
      </c>
    </row>
    <row r="19" spans="1:4" x14ac:dyDescent="0.3">
      <c r="A19" s="2" t="s">
        <v>52</v>
      </c>
      <c r="B19">
        <v>20000</v>
      </c>
      <c r="C19" t="s">
        <v>53</v>
      </c>
      <c r="D19" t="s">
        <v>31</v>
      </c>
    </row>
    <row r="20" spans="1:4" x14ac:dyDescent="0.3">
      <c r="A20" s="2" t="s">
        <v>54</v>
      </c>
      <c r="B20">
        <v>720</v>
      </c>
      <c r="C20" t="s">
        <v>55</v>
      </c>
      <c r="D20" t="s">
        <v>31</v>
      </c>
    </row>
    <row r="21" spans="1:4" x14ac:dyDescent="0.3">
      <c r="A21" s="2" t="s">
        <v>56</v>
      </c>
      <c r="B21">
        <f>50000/1440</f>
        <v>34.722222222222221</v>
      </c>
      <c r="C21" t="s">
        <v>57</v>
      </c>
      <c r="D21" t="s">
        <v>31</v>
      </c>
    </row>
    <row r="22" spans="1:4" x14ac:dyDescent="0.3">
      <c r="A22" s="2" t="s">
        <v>58</v>
      </c>
      <c r="B22">
        <v>4</v>
      </c>
      <c r="C22" t="s">
        <v>59</v>
      </c>
      <c r="D22" t="s">
        <v>31</v>
      </c>
    </row>
    <row r="23" spans="1:4" x14ac:dyDescent="0.3">
      <c r="A23" s="2" t="s">
        <v>60</v>
      </c>
      <c r="B23">
        <v>1440</v>
      </c>
      <c r="C23" t="s">
        <v>55</v>
      </c>
      <c r="D23" t="s">
        <v>31</v>
      </c>
    </row>
    <row r="24" spans="1:4" x14ac:dyDescent="0.3">
      <c r="A24" s="2" t="s">
        <v>61</v>
      </c>
      <c r="B24">
        <f>25000/1440</f>
        <v>17.361111111111111</v>
      </c>
      <c r="C24" t="s">
        <v>57</v>
      </c>
      <c r="D24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4.4" x14ac:dyDescent="0.3"/>
  <cols>
    <col min="1" max="1" width="30" customWidth="1"/>
    <col min="2" max="2" width="45" customWidth="1"/>
    <col min="3" max="3" width="10" customWidth="1"/>
  </cols>
  <sheetData>
    <row r="1" spans="1:3" ht="15.6" customHeight="1" x14ac:dyDescent="0.3">
      <c r="A1" s="3" t="s">
        <v>62</v>
      </c>
    </row>
    <row r="2" spans="1:3" x14ac:dyDescent="0.3">
      <c r="A2" t="s">
        <v>63</v>
      </c>
      <c r="B2">
        <f>TOMATO_BEDS*TOMATO_HRS*SEASON_WEEKS*(1+TOMATO_DIM)^TOMATO_BEDS</f>
        <v>2334.3682140900019</v>
      </c>
      <c r="C2" t="s">
        <v>55</v>
      </c>
    </row>
    <row r="3" spans="1:3" x14ac:dyDescent="0.3">
      <c r="A3" t="s">
        <v>64</v>
      </c>
      <c r="B3">
        <f>CARROT_BEDS*CARROT_HRS*SEASON_WEEKS*(1+CARROT_DIM)^CARROT_BEDS</f>
        <v>983.16986417423732</v>
      </c>
      <c r="C3" t="s">
        <v>55</v>
      </c>
    </row>
    <row r="4" spans="1:3" x14ac:dyDescent="0.3">
      <c r="A4" t="s">
        <v>65</v>
      </c>
      <c r="B4">
        <f>MESCLUN_BEDS*MESCLUN_HRS*SEASON_WEEKS*(1+MESCLUN_DIM)^MESCLUN_BEDS</f>
        <v>1959.6780360096488</v>
      </c>
      <c r="C4" t="s">
        <v>55</v>
      </c>
    </row>
    <row r="5" spans="1:3" x14ac:dyDescent="0.3">
      <c r="A5" t="s">
        <v>66</v>
      </c>
      <c r="B5">
        <f>B2+B3+B4</f>
        <v>5277.2161142738878</v>
      </c>
      <c r="C5" t="s">
        <v>55</v>
      </c>
    </row>
    <row r="7" spans="1:3" ht="15.6" customHeight="1" x14ac:dyDescent="0.3">
      <c r="A7" s="3" t="s">
        <v>67</v>
      </c>
    </row>
    <row r="8" spans="1:3" x14ac:dyDescent="0.3">
      <c r="A8" t="s">
        <v>68</v>
      </c>
      <c r="B8">
        <f>MIN(OWNER_HRS,B5)</f>
        <v>720</v>
      </c>
      <c r="C8" t="s">
        <v>55</v>
      </c>
    </row>
    <row r="9" spans="1:3" x14ac:dyDescent="0.3">
      <c r="A9" t="s">
        <v>69</v>
      </c>
      <c r="B9">
        <f>MAX(0,B5-OWNER_HRS)</f>
        <v>4557.2161142738878</v>
      </c>
      <c r="C9" t="s">
        <v>55</v>
      </c>
    </row>
    <row r="10" spans="1:3" x14ac:dyDescent="0.3">
      <c r="A10" t="s">
        <v>70</v>
      </c>
      <c r="B10">
        <f>B8*OWNER_RATE</f>
        <v>25000</v>
      </c>
      <c r="C10" t="s">
        <v>53</v>
      </c>
    </row>
    <row r="11" spans="1:3" x14ac:dyDescent="0.3">
      <c r="A11" t="s">
        <v>71</v>
      </c>
      <c r="B11">
        <f>B9*TEMP_RATE</f>
        <v>79118.335317254998</v>
      </c>
      <c r="C11" t="s">
        <v>53</v>
      </c>
    </row>
    <row r="12" spans="1:3" x14ac:dyDescent="0.3">
      <c r="A12" t="s">
        <v>72</v>
      </c>
      <c r="B12">
        <f>B10+B11</f>
        <v>104118.335317255</v>
      </c>
      <c r="C12" t="s">
        <v>53</v>
      </c>
    </row>
    <row r="13" spans="1:3" x14ac:dyDescent="0.3">
      <c r="A13" t="s">
        <v>73</v>
      </c>
      <c r="B13">
        <f>IF(B5=0,0,B12/B5)</f>
        <v>19.729784239010844</v>
      </c>
      <c r="C13" t="s">
        <v>57</v>
      </c>
    </row>
    <row r="14" spans="1:3" x14ac:dyDescent="0.3">
      <c r="A14" t="s">
        <v>74</v>
      </c>
      <c r="B14">
        <f>ROUNDUP(B9/TEMP_HRS_EACH,0)</f>
        <v>4</v>
      </c>
      <c r="C14" t="s">
        <v>59</v>
      </c>
    </row>
    <row r="16" spans="1:3" ht="15.6" customHeight="1" x14ac:dyDescent="0.3">
      <c r="A16" s="3" t="s">
        <v>75</v>
      </c>
    </row>
    <row r="17" spans="1:3" x14ac:dyDescent="0.3">
      <c r="A17" t="s">
        <v>76</v>
      </c>
      <c r="B17">
        <f>B2*$B$13</f>
        <v>46056.581198400811</v>
      </c>
      <c r="C17" t="s">
        <v>53</v>
      </c>
    </row>
    <row r="18" spans="1:3" x14ac:dyDescent="0.3">
      <c r="A18" t="s">
        <v>77</v>
      </c>
      <c r="B18">
        <f>B3*$B$13</f>
        <v>19397.7292904553</v>
      </c>
      <c r="C18" t="s">
        <v>53</v>
      </c>
    </row>
    <row r="19" spans="1:3" x14ac:dyDescent="0.3">
      <c r="A19" t="s">
        <v>78</v>
      </c>
      <c r="B19">
        <f>B4*$B$13</f>
        <v>38664.024828398891</v>
      </c>
      <c r="C19" t="s">
        <v>53</v>
      </c>
    </row>
    <row r="21" spans="1:3" ht="15.6" customHeight="1" x14ac:dyDescent="0.3">
      <c r="A21" s="3" t="s">
        <v>79</v>
      </c>
    </row>
    <row r="22" spans="1:3" x14ac:dyDescent="0.3">
      <c r="A22" t="s">
        <v>80</v>
      </c>
      <c r="B22">
        <f>TOMATO_BEDS*TOMATO_FERT</f>
        <v>8800</v>
      </c>
      <c r="C22" t="s">
        <v>53</v>
      </c>
    </row>
    <row r="23" spans="1:3" x14ac:dyDescent="0.3">
      <c r="A23" t="s">
        <v>81</v>
      </c>
      <c r="B23">
        <f>CARROT_BEDS*CARROT_FERT</f>
        <v>8800</v>
      </c>
      <c r="C23" t="s">
        <v>53</v>
      </c>
    </row>
    <row r="24" spans="1:3" x14ac:dyDescent="0.3">
      <c r="A24" t="s">
        <v>82</v>
      </c>
      <c r="B24">
        <f>MESCLUN_BEDS*MESCLUN_FERT</f>
        <v>26400</v>
      </c>
      <c r="C24" t="s">
        <v>53</v>
      </c>
    </row>
    <row r="26" spans="1:3" ht="15.6" customHeight="1" x14ac:dyDescent="0.3">
      <c r="A26" s="3" t="s">
        <v>83</v>
      </c>
    </row>
    <row r="27" spans="1:3" x14ac:dyDescent="0.3">
      <c r="A27" t="s">
        <v>84</v>
      </c>
      <c r="B27">
        <f>TOMATO_BEDS*TOMATO_REVENUE</f>
        <v>88000</v>
      </c>
      <c r="C27" t="s">
        <v>53</v>
      </c>
    </row>
    <row r="28" spans="1:3" x14ac:dyDescent="0.3">
      <c r="A28" t="s">
        <v>85</v>
      </c>
      <c r="B28">
        <f>CARROT_BEDS*CARROT_REVENUE</f>
        <v>41880</v>
      </c>
      <c r="C28" t="s">
        <v>53</v>
      </c>
    </row>
    <row r="29" spans="1:3" x14ac:dyDescent="0.3">
      <c r="A29" t="s">
        <v>86</v>
      </c>
      <c r="B29">
        <f>MESCLUN_BEDS*MESCLUN_REVENUE</f>
        <v>81000</v>
      </c>
      <c r="C29" t="s">
        <v>53</v>
      </c>
    </row>
    <row r="30" spans="1:3" x14ac:dyDescent="0.3">
      <c r="A30" t="s">
        <v>87</v>
      </c>
      <c r="B30">
        <f>B27+B28+B29</f>
        <v>210880</v>
      </c>
      <c r="C30" t="s">
        <v>53</v>
      </c>
    </row>
    <row r="31" spans="1:3" x14ac:dyDescent="0.3">
      <c r="A31" t="s">
        <v>88</v>
      </c>
      <c r="B31">
        <f>B22+B23+B24</f>
        <v>44000</v>
      </c>
      <c r="C31" t="s">
        <v>53</v>
      </c>
    </row>
    <row r="32" spans="1:3" x14ac:dyDescent="0.3">
      <c r="A32" t="s">
        <v>89</v>
      </c>
      <c r="B32">
        <f>B30-B31-B12-FIXED_COSTS</f>
        <v>42761.664682745002</v>
      </c>
      <c r="C32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opLeftCell="A3" workbookViewId="0">
      <selection activeCell="B4" sqref="B4"/>
    </sheetView>
  </sheetViews>
  <sheetFormatPr defaultRowHeight="14.4" x14ac:dyDescent="0.3"/>
  <cols>
    <col min="1" max="1" width="32" customWidth="1"/>
    <col min="2" max="2" width="40" customWidth="1"/>
    <col min="3" max="3" width="35" customWidth="1"/>
  </cols>
  <sheetData>
    <row r="1" spans="1:3" ht="17.399999999999999" customHeight="1" x14ac:dyDescent="0.35">
      <c r="A1" s="4" t="s">
        <v>0</v>
      </c>
    </row>
    <row r="2" spans="1:3" x14ac:dyDescent="0.3">
      <c r="A2" t="s">
        <v>1</v>
      </c>
      <c r="B2">
        <v>10</v>
      </c>
      <c r="C2" t="s">
        <v>2</v>
      </c>
    </row>
    <row r="3" spans="1:3" x14ac:dyDescent="0.3">
      <c r="A3" t="s">
        <v>3</v>
      </c>
      <c r="B3">
        <v>20</v>
      </c>
      <c r="C3" t="s">
        <v>2</v>
      </c>
    </row>
    <row r="4" spans="1:3" x14ac:dyDescent="0.3">
      <c r="A4" t="s">
        <v>4</v>
      </c>
      <c r="B4">
        <v>30</v>
      </c>
      <c r="C4" t="s">
        <v>2</v>
      </c>
    </row>
    <row r="6" spans="1:3" ht="17.399999999999999" customHeight="1" x14ac:dyDescent="0.35">
      <c r="A6" s="4" t="s">
        <v>5</v>
      </c>
    </row>
    <row r="7" spans="1:3" x14ac:dyDescent="0.3">
      <c r="A7" t="s">
        <v>6</v>
      </c>
      <c r="B7" t="b">
        <f>TOMATO_BEDS&lt;=TOMATO_BED_CAP</f>
        <v>1</v>
      </c>
    </row>
    <row r="8" spans="1:3" x14ac:dyDescent="0.3">
      <c r="A8" t="s">
        <v>7</v>
      </c>
      <c r="B8" t="b">
        <f>CARROT_BEDS&lt;=CARROT_BED_CAP</f>
        <v>1</v>
      </c>
    </row>
    <row r="9" spans="1:3" x14ac:dyDescent="0.3">
      <c r="A9" t="s">
        <v>8</v>
      </c>
      <c r="B9" t="b">
        <f>MESCLUN_BEDS&lt;=MESCLUN_BED_CAP</f>
        <v>1</v>
      </c>
    </row>
    <row r="10" spans="1:3" x14ac:dyDescent="0.3">
      <c r="A10" t="s">
        <v>9</v>
      </c>
      <c r="B10" t="b">
        <f>(TOMATO_BEDS+CARROT_BEDS+MESCLUN_BEDS)&lt;=TOTAL_BEDS</f>
        <v>1</v>
      </c>
    </row>
    <row r="11" spans="1:3" x14ac:dyDescent="0.3">
      <c r="A11" t="s">
        <v>10</v>
      </c>
      <c r="B11" t="b">
        <f>CostStructure!B20&lt;=TEMP_WORKER_CAP</f>
        <v>1</v>
      </c>
    </row>
    <row r="12" spans="1:3" x14ac:dyDescent="0.3">
      <c r="A12" t="s">
        <v>11</v>
      </c>
      <c r="B12" t="s">
        <v>12</v>
      </c>
    </row>
    <row r="13" spans="1:3" ht="17.399999999999999" customHeight="1" x14ac:dyDescent="0.35">
      <c r="A13" s="4"/>
    </row>
    <row r="14" spans="1:3" x14ac:dyDescent="0.3">
      <c r="A14" t="s">
        <v>13</v>
      </c>
    </row>
    <row r="15" spans="1:3" x14ac:dyDescent="0.3">
      <c r="A15" t="s">
        <v>14</v>
      </c>
      <c r="B15">
        <f>CostStructure!B32</f>
        <v>42761.664682745002</v>
      </c>
    </row>
    <row r="16" spans="1:3" x14ac:dyDescent="0.3">
      <c r="A16" t="s">
        <v>15</v>
      </c>
      <c r="B16" t="s">
        <v>16</v>
      </c>
    </row>
    <row r="17" spans="1:2" x14ac:dyDescent="0.3">
      <c r="A17" t="s">
        <v>17</v>
      </c>
      <c r="B17" t="s">
        <v>18</v>
      </c>
    </row>
    <row r="18" spans="1:2" x14ac:dyDescent="0.3">
      <c r="A18" t="s">
        <v>19</v>
      </c>
      <c r="B18">
        <f>CostStructure!B32</f>
        <v>42761.664682745002</v>
      </c>
    </row>
    <row r="20" spans="1:2" x14ac:dyDescent="0.3">
      <c r="A20" t="s">
        <v>20</v>
      </c>
    </row>
    <row r="21" spans="1:2" x14ac:dyDescent="0.3">
      <c r="A21" t="s">
        <v>21</v>
      </c>
      <c r="B21">
        <v>20</v>
      </c>
    </row>
    <row r="22" spans="1:2" x14ac:dyDescent="0.3">
      <c r="A22" t="s">
        <v>22</v>
      </c>
      <c r="B22">
        <v>20</v>
      </c>
    </row>
    <row r="23" spans="1:2" x14ac:dyDescent="0.3">
      <c r="A23" t="s">
        <v>23</v>
      </c>
      <c r="B23">
        <v>30</v>
      </c>
    </row>
    <row r="24" spans="1:2" x14ac:dyDescent="0.3">
      <c r="A24" t="s">
        <v>24</v>
      </c>
      <c r="B24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tabSelected="1" workbookViewId="0">
      <selection activeCell="I9" sqref="I9"/>
    </sheetView>
  </sheetViews>
  <sheetFormatPr defaultRowHeight="14.4" x14ac:dyDescent="0.3"/>
  <cols>
    <col min="1" max="7" width="17" customWidth="1"/>
    <col min="9" max="9" width="26" customWidth="1"/>
  </cols>
  <sheetData>
    <row r="1" spans="1:9" x14ac:dyDescent="0.3">
      <c r="A1" t="s">
        <v>90</v>
      </c>
      <c r="B1" t="s">
        <v>91</v>
      </c>
    </row>
    <row r="3" spans="1:9" x14ac:dyDescent="0.3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I3" s="1" t="s">
        <v>99</v>
      </c>
    </row>
    <row r="4" spans="1:9" x14ac:dyDescent="0.3">
      <c r="A4">
        <v>1</v>
      </c>
      <c r="B4">
        <f t="shared" ref="B4:B23" si="0">IF(A4&lt;=TOMATO_BED_CAP,A4*TOMATO_HRS*SEASON_WEEKS*(1+TOMATO_DIM)^A4,"")</f>
        <v>99.000000000000014</v>
      </c>
      <c r="C4">
        <f>(B4*TEMP_RATE+TOMATO_FERT)</f>
        <v>2598.75</v>
      </c>
      <c r="D4">
        <f t="shared" ref="D4:D23" si="1">IF(A4&lt;=CARROT_BED_CAP,A4*CARROT_HRS*SEASON_WEEKS*(1+CARROT_DIM)^A4,"")</f>
        <v>30.749999999999996</v>
      </c>
      <c r="E4">
        <f>(D4*TEMP_RATE+CARROT_FERT)</f>
        <v>973.85416666666663</v>
      </c>
      <c r="F4">
        <f t="shared" ref="F4:F33" si="2">A4*MESCLUN_HRS*SEASON_WEEKS*(1+MESCLUN_DIM)^A4</f>
        <v>45.5625</v>
      </c>
      <c r="G4">
        <f>(F4*TEMP_RATE+MESCLUN_FERT)</f>
        <v>1671.015625</v>
      </c>
      <c r="I4">
        <f>(MIN(B4,OWNER_HRS)*OWNER_RATE+MAX(0,B4-OWNER_HRS)*TEMP_RATE)+TOMATO_FERT</f>
        <v>4317.5</v>
      </c>
    </row>
    <row r="5" spans="1:9" x14ac:dyDescent="0.3">
      <c r="A5">
        <v>2</v>
      </c>
      <c r="B5">
        <f t="shared" si="0"/>
        <v>217.80000000000004</v>
      </c>
      <c r="C5">
        <f t="shared" ref="C5:C23" si="3">((B5-B4)*TEMP_RATE+TOMATO_FERT)</f>
        <v>2942.5000000000005</v>
      </c>
      <c r="D5">
        <f t="shared" si="1"/>
        <v>63.037499999999994</v>
      </c>
      <c r="E5">
        <f t="shared" ref="E5:E23" si="4">((D5-D4)*TEMP_RATE+CARROT_FERT)</f>
        <v>1000.5468749999999</v>
      </c>
      <c r="F5">
        <f t="shared" si="2"/>
        <v>92.264062499999994</v>
      </c>
      <c r="G5">
        <f t="shared" ref="G5:G33" si="5">((F5-F4)*TEMP_RATE+MESCLUN_FERT)</f>
        <v>1690.791015625</v>
      </c>
      <c r="I5">
        <f t="shared" ref="I5:I23" si="6">(MIN(B5,OWNER_HRS)*OWNER_RATE+MAX(0,B5-OWNER_HRS)*TEMP_RATE)-(MIN(B4,OWNER_HRS)*OWNER_RATE+MAX(0,B4-OWNER_HRS)*TEMP_RATE)+TOMATO_FERT</f>
        <v>5005</v>
      </c>
    </row>
    <row r="6" spans="1:9" x14ac:dyDescent="0.3">
      <c r="A6">
        <v>3</v>
      </c>
      <c r="B6">
        <f t="shared" si="0"/>
        <v>359.37000000000012</v>
      </c>
      <c r="C6">
        <f t="shared" si="3"/>
        <v>3337.8125000000014</v>
      </c>
      <c r="D6">
        <f t="shared" si="1"/>
        <v>96.920156249999991</v>
      </c>
      <c r="E6">
        <f t="shared" si="4"/>
        <v>1028.2405598958333</v>
      </c>
      <c r="F6">
        <f t="shared" si="2"/>
        <v>140.12604492187498</v>
      </c>
      <c r="G6">
        <f t="shared" si="5"/>
        <v>1710.9371948242183</v>
      </c>
      <c r="I6">
        <f t="shared" si="6"/>
        <v>5795.6250000000027</v>
      </c>
    </row>
    <row r="7" spans="1:9" x14ac:dyDescent="0.3">
      <c r="A7">
        <v>4</v>
      </c>
      <c r="B7">
        <f t="shared" si="0"/>
        <v>527.07600000000014</v>
      </c>
      <c r="C7">
        <f t="shared" si="3"/>
        <v>3791.5625000000005</v>
      </c>
      <c r="D7">
        <f t="shared" si="1"/>
        <v>132.45754687499996</v>
      </c>
      <c r="E7">
        <f t="shared" si="4"/>
        <v>1056.9685872395828</v>
      </c>
      <c r="F7">
        <f t="shared" si="2"/>
        <v>189.17016064453125</v>
      </c>
      <c r="G7">
        <f t="shared" si="5"/>
        <v>1731.460342407227</v>
      </c>
      <c r="I7">
        <f t="shared" si="6"/>
        <v>6703.125</v>
      </c>
    </row>
    <row r="8" spans="1:9" x14ac:dyDescent="0.3">
      <c r="A8">
        <v>5</v>
      </c>
      <c r="B8">
        <f t="shared" si="0"/>
        <v>724.72950000000026</v>
      </c>
      <c r="C8">
        <f t="shared" si="3"/>
        <v>4311.4843750000018</v>
      </c>
      <c r="D8">
        <f t="shared" si="1"/>
        <v>169.71123193359369</v>
      </c>
      <c r="E8">
        <f t="shared" si="4"/>
        <v>1086.7653656005855</v>
      </c>
      <c r="F8">
        <f t="shared" si="2"/>
        <v>239.41848456573481</v>
      </c>
      <c r="G8">
        <f t="shared" si="5"/>
        <v>1752.3667347431174</v>
      </c>
      <c r="I8">
        <f t="shared" si="6"/>
        <v>7660.859375</v>
      </c>
    </row>
    <row r="9" spans="1:9" x14ac:dyDescent="0.3">
      <c r="A9">
        <v>6</v>
      </c>
      <c r="B9">
        <f t="shared" si="0"/>
        <v>956.64294000000041</v>
      </c>
      <c r="C9">
        <f t="shared" si="3"/>
        <v>4906.2750000000024</v>
      </c>
      <c r="D9">
        <f t="shared" si="1"/>
        <v>208.74481527832023</v>
      </c>
      <c r="E9">
        <f t="shared" si="4"/>
        <v>1117.6663775126135</v>
      </c>
      <c r="F9">
        <f t="shared" si="2"/>
        <v>290.89345874736784</v>
      </c>
      <c r="G9">
        <f t="shared" si="5"/>
        <v>1773.6627462089068</v>
      </c>
      <c r="I9">
        <f t="shared" si="6"/>
        <v>4906.2750000000051</v>
      </c>
    </row>
    <row r="10" spans="1:9" x14ac:dyDescent="0.3">
      <c r="A10">
        <v>7</v>
      </c>
      <c r="B10">
        <f t="shared" si="0"/>
        <v>1227.6917730000007</v>
      </c>
      <c r="C10">
        <f t="shared" si="3"/>
        <v>5585.7089062500045</v>
      </c>
      <c r="D10">
        <f t="shared" si="1"/>
        <v>249.62400827032465</v>
      </c>
      <c r="E10">
        <f t="shared" si="4"/>
        <v>1149.7082116667434</v>
      </c>
      <c r="F10">
        <f t="shared" si="2"/>
        <v>343.61789814532818</v>
      </c>
      <c r="G10">
        <f t="shared" si="5"/>
        <v>1795.3548506590337</v>
      </c>
      <c r="I10">
        <f t="shared" si="6"/>
        <v>5585.7089062500017</v>
      </c>
    </row>
    <row r="11" spans="1:9" x14ac:dyDescent="0.3">
      <c r="A11">
        <v>8</v>
      </c>
      <c r="B11">
        <f t="shared" si="0"/>
        <v>1543.3839432000009</v>
      </c>
      <c r="C11">
        <f t="shared" si="3"/>
        <v>6360.7668437500033</v>
      </c>
      <c r="D11">
        <f t="shared" si="1"/>
        <v>292.41669540238024</v>
      </c>
      <c r="E11">
        <f t="shared" si="4"/>
        <v>1182.9285960426319</v>
      </c>
      <c r="F11">
        <f t="shared" si="2"/>
        <v>397.61499642530839</v>
      </c>
      <c r="G11">
        <f t="shared" si="5"/>
        <v>1817.4496229163231</v>
      </c>
      <c r="I11">
        <f t="shared" si="6"/>
        <v>6360.7668437500033</v>
      </c>
    </row>
    <row r="12" spans="1:9" x14ac:dyDescent="0.3">
      <c r="A12">
        <v>9</v>
      </c>
      <c r="B12">
        <f t="shared" si="0"/>
        <v>1909.9376297100011</v>
      </c>
      <c r="C12">
        <f t="shared" si="3"/>
        <v>7243.7792796875046</v>
      </c>
      <c r="D12">
        <f t="shared" si="1"/>
        <v>337.19300188586965</v>
      </c>
      <c r="E12">
        <f t="shared" si="4"/>
        <v>1217.3664320050243</v>
      </c>
      <c r="F12">
        <f t="shared" si="2"/>
        <v>452.90833186570285</v>
      </c>
      <c r="G12">
        <f t="shared" si="5"/>
        <v>1839.9537402846258</v>
      </c>
      <c r="I12">
        <f t="shared" si="6"/>
        <v>7243.7792796875074</v>
      </c>
    </row>
    <row r="13" spans="1:9" x14ac:dyDescent="0.3">
      <c r="A13">
        <v>10</v>
      </c>
      <c r="B13">
        <f t="shared" si="0"/>
        <v>2334.3682140900019</v>
      </c>
      <c r="C13">
        <f t="shared" si="3"/>
        <v>8248.586534375012</v>
      </c>
      <c r="D13">
        <f t="shared" si="1"/>
        <v>384.02536325890713</v>
      </c>
      <c r="E13">
        <f t="shared" si="4"/>
        <v>1253.061829393012</v>
      </c>
      <c r="F13">
        <f t="shared" si="2"/>
        <v>509.52187334891573</v>
      </c>
      <c r="G13">
        <f t="shared" si="5"/>
        <v>1862.8739840835569</v>
      </c>
      <c r="I13">
        <f t="shared" si="6"/>
        <v>8248.586534375012</v>
      </c>
    </row>
    <row r="14" spans="1:9" x14ac:dyDescent="0.3">
      <c r="A14">
        <v>11</v>
      </c>
      <c r="B14">
        <f t="shared" si="0"/>
        <v>2824.5855390489023</v>
      </c>
      <c r="C14">
        <f t="shared" si="3"/>
        <v>9390.7174472031329</v>
      </c>
      <c r="D14">
        <f t="shared" si="1"/>
        <v>432.98859707441784</v>
      </c>
      <c r="E14">
        <f t="shared" si="4"/>
        <v>1290.0561426303943</v>
      </c>
      <c r="F14">
        <f t="shared" si="2"/>
        <v>567.47998644235474</v>
      </c>
      <c r="G14">
        <f t="shared" si="5"/>
        <v>1886.2172412055384</v>
      </c>
      <c r="I14">
        <f t="shared" si="6"/>
        <v>9390.7174472031329</v>
      </c>
    </row>
    <row r="15" spans="1:9" x14ac:dyDescent="0.3">
      <c r="A15">
        <v>12</v>
      </c>
      <c r="B15">
        <f t="shared" si="0"/>
        <v>3389.502646858683</v>
      </c>
      <c r="C15">
        <f t="shared" si="3"/>
        <v>10687.588677253136</v>
      </c>
      <c r="D15">
        <f t="shared" si="1"/>
        <v>484.15997672866712</v>
      </c>
      <c r="E15">
        <f t="shared" si="4"/>
        <v>1328.392007886272</v>
      </c>
      <c r="F15">
        <f t="shared" si="2"/>
        <v>626.80743957041921</v>
      </c>
      <c r="G15">
        <f t="shared" si="5"/>
        <v>1909.9905056955636</v>
      </c>
      <c r="I15">
        <f t="shared" si="6"/>
        <v>10687.58867725313</v>
      </c>
    </row>
    <row r="16" spans="1:9" x14ac:dyDescent="0.3">
      <c r="A16">
        <v>13</v>
      </c>
      <c r="B16">
        <f t="shared" si="0"/>
        <v>4039.1573208399304</v>
      </c>
      <c r="C16">
        <f t="shared" si="3"/>
        <v>12158.726978841101</v>
      </c>
      <c r="D16">
        <f t="shared" si="1"/>
        <v>537.61930749245744</v>
      </c>
      <c r="E16">
        <f t="shared" si="4"/>
        <v>1368.1133813158042</v>
      </c>
      <c r="F16">
        <f t="shared" si="2"/>
        <v>687.52941027880343</v>
      </c>
      <c r="G16">
        <f t="shared" si="5"/>
        <v>1934.2008803538927</v>
      </c>
      <c r="I16">
        <f t="shared" si="6"/>
        <v>12158.726978841107</v>
      </c>
    </row>
    <row r="17" spans="1:9" x14ac:dyDescent="0.3">
      <c r="A17">
        <v>14</v>
      </c>
      <c r="B17">
        <f t="shared" si="0"/>
        <v>4784.8479031488414</v>
      </c>
      <c r="C17">
        <f t="shared" si="3"/>
        <v>13826.017053974148</v>
      </c>
      <c r="D17">
        <f t="shared" si="1"/>
        <v>593.44900480898184</v>
      </c>
      <c r="E17">
        <f t="shared" si="4"/>
        <v>1409.265578411882</v>
      </c>
      <c r="F17">
        <f t="shared" si="2"/>
        <v>749.67149159246469</v>
      </c>
      <c r="G17">
        <f t="shared" si="5"/>
        <v>1958.8555783621748</v>
      </c>
      <c r="I17">
        <f t="shared" si="6"/>
        <v>13826.017053974152</v>
      </c>
    </row>
    <row r="18" spans="1:9" x14ac:dyDescent="0.3">
      <c r="A18">
        <v>15</v>
      </c>
      <c r="B18">
        <f t="shared" si="0"/>
        <v>5639.2850287111351</v>
      </c>
      <c r="C18">
        <f t="shared" si="3"/>
        <v>15713.977874345375</v>
      </c>
      <c r="D18">
        <f t="shared" si="1"/>
        <v>651.73417492414967</v>
      </c>
      <c r="E18">
        <f t="shared" si="4"/>
        <v>1451.8953144994416</v>
      </c>
      <c r="F18">
        <f t="shared" si="2"/>
        <v>813.25969846861108</v>
      </c>
      <c r="G18">
        <f t="shared" si="5"/>
        <v>1983.961924933097</v>
      </c>
      <c r="I18">
        <f t="shared" si="6"/>
        <v>15713.977874345364</v>
      </c>
    </row>
    <row r="19" spans="1:9" x14ac:dyDescent="0.3">
      <c r="A19">
        <v>16</v>
      </c>
      <c r="B19">
        <f t="shared" si="0"/>
        <v>6616.761100354398</v>
      </c>
      <c r="C19">
        <f t="shared" si="3"/>
        <v>17850.070688251093</v>
      </c>
      <c r="D19">
        <f t="shared" si="1"/>
        <v>712.5626979170703</v>
      </c>
      <c r="E19">
        <f t="shared" si="4"/>
        <v>1496.0507464048719</v>
      </c>
      <c r="F19">
        <f t="shared" si="2"/>
        <v>878.32047434610013</v>
      </c>
      <c r="G19">
        <f t="shared" si="5"/>
        <v>2009.527358984185</v>
      </c>
      <c r="I19">
        <f t="shared" si="6"/>
        <v>17850.0706882511</v>
      </c>
    </row>
    <row r="20" spans="1:9" x14ac:dyDescent="0.3">
      <c r="A20">
        <v>17</v>
      </c>
      <c r="B20">
        <f t="shared" si="0"/>
        <v>7733.3395360392033</v>
      </c>
      <c r="C20">
        <f t="shared" si="3"/>
        <v>20265.042286194537</v>
      </c>
      <c r="D20">
        <f t="shared" si="1"/>
        <v>776.02531320030937</v>
      </c>
      <c r="E20">
        <f t="shared" si="4"/>
        <v>1541.7815153340116</v>
      </c>
      <c r="F20">
        <f t="shared" si="2"/>
        <v>944.88069779264049</v>
      </c>
      <c r="G20">
        <f t="shared" si="5"/>
        <v>2035.5594348357702</v>
      </c>
      <c r="I20">
        <f t="shared" si="6"/>
        <v>20265.042286194526</v>
      </c>
    </row>
    <row r="21" spans="1:9" x14ac:dyDescent="0.3">
      <c r="A21">
        <v>18</v>
      </c>
      <c r="B21">
        <f t="shared" si="0"/>
        <v>9007.0660478574246</v>
      </c>
      <c r="C21">
        <f t="shared" si="3"/>
        <v>22993.307496844118</v>
      </c>
      <c r="D21">
        <f t="shared" si="1"/>
        <v>842.2157075615122</v>
      </c>
      <c r="E21">
        <f t="shared" si="4"/>
        <v>1589.1387909931047</v>
      </c>
      <c r="F21">
        <f t="shared" si="2"/>
        <v>1012.9676892512279</v>
      </c>
      <c r="G21">
        <f t="shared" si="5"/>
        <v>2062.0658239338081</v>
      </c>
      <c r="I21">
        <f t="shared" si="6"/>
        <v>22993.307496844121</v>
      </c>
    </row>
    <row r="22" spans="1:9" x14ac:dyDescent="0.3">
      <c r="A22">
        <v>19</v>
      </c>
      <c r="B22">
        <f t="shared" si="0"/>
        <v>10458.204466678902</v>
      </c>
      <c r="C22">
        <f t="shared" si="3"/>
        <v>26073.375326761769</v>
      </c>
      <c r="D22">
        <f t="shared" si="1"/>
        <v>911.23060582002495</v>
      </c>
      <c r="E22">
        <f t="shared" si="4"/>
        <v>1638.1753169880685</v>
      </c>
      <c r="F22">
        <f t="shared" si="2"/>
        <v>1082.6092178872495</v>
      </c>
      <c r="G22">
        <f t="shared" si="5"/>
        <v>2089.0543165975987</v>
      </c>
      <c r="I22">
        <f t="shared" si="6"/>
        <v>26073.375326761772</v>
      </c>
    </row>
    <row r="23" spans="1:9" x14ac:dyDescent="0.3">
      <c r="A23">
        <v>20</v>
      </c>
      <c r="B23">
        <f t="shared" si="0"/>
        <v>12109.499908786096</v>
      </c>
      <c r="C23">
        <f t="shared" si="3"/>
        <v>29548.323647694331</v>
      </c>
      <c r="D23">
        <f t="shared" si="1"/>
        <v>983.16986417423732</v>
      </c>
      <c r="E23">
        <f t="shared" si="4"/>
        <v>1688.9454575384091</v>
      </c>
      <c r="F23">
        <f t="shared" si="2"/>
        <v>1153.8335085377266</v>
      </c>
      <c r="G23">
        <f t="shared" si="5"/>
        <v>2116.5328237930053</v>
      </c>
      <c r="I23">
        <f t="shared" si="6"/>
        <v>29548.323647694342</v>
      </c>
    </row>
    <row r="24" spans="1:9" x14ac:dyDescent="0.3">
      <c r="A24">
        <v>21</v>
      </c>
      <c r="F24">
        <f t="shared" si="2"/>
        <v>1226.6692487641703</v>
      </c>
      <c r="G24">
        <f t="shared" si="5"/>
        <v>2144.5093789313141</v>
      </c>
    </row>
    <row r="25" spans="1:9" x14ac:dyDescent="0.3">
      <c r="A25">
        <v>22</v>
      </c>
      <c r="F25">
        <f t="shared" si="2"/>
        <v>1301.1455960105666</v>
      </c>
      <c r="G25">
        <f t="shared" si="5"/>
        <v>2172.9921396943791</v>
      </c>
    </row>
    <row r="26" spans="1:9" x14ac:dyDescent="0.3">
      <c r="A26">
        <v>23</v>
      </c>
      <c r="F26">
        <f t="shared" si="2"/>
        <v>1377.292184868003</v>
      </c>
      <c r="G26">
        <f t="shared" si="5"/>
        <v>2201.9893898860491</v>
      </c>
    </row>
    <row r="27" spans="1:9" x14ac:dyDescent="0.3">
      <c r="A27">
        <v>24</v>
      </c>
      <c r="F27">
        <f t="shared" si="2"/>
        <v>1455.1391344474989</v>
      </c>
      <c r="G27">
        <f t="shared" si="5"/>
        <v>2231.5095413106928</v>
      </c>
    </row>
    <row r="28" spans="1:9" x14ac:dyDescent="0.3">
      <c r="A28">
        <v>25</v>
      </c>
      <c r="F28">
        <f t="shared" si="2"/>
        <v>1534.7170558625965</v>
      </c>
      <c r="G28">
        <f t="shared" si="5"/>
        <v>2261.5611356787767</v>
      </c>
    </row>
    <row r="29" spans="1:9" x14ac:dyDescent="0.3">
      <c r="A29">
        <v>26</v>
      </c>
      <c r="F29">
        <f t="shared" si="2"/>
        <v>1616.0570598233144</v>
      </c>
      <c r="G29">
        <f t="shared" si="5"/>
        <v>2292.1528465402416</v>
      </c>
    </row>
    <row r="30" spans="1:9" x14ac:dyDescent="0.3">
      <c r="A30">
        <v>27</v>
      </c>
      <c r="F30">
        <f t="shared" si="2"/>
        <v>1699.1907643430709</v>
      </c>
      <c r="G30">
        <f t="shared" si="5"/>
        <v>2323.2934812457729</v>
      </c>
    </row>
    <row r="31" spans="1:9" x14ac:dyDescent="0.3">
      <c r="A31">
        <v>28</v>
      </c>
      <c r="F31">
        <f t="shared" si="2"/>
        <v>1784.1503025602246</v>
      </c>
      <c r="G31">
        <f t="shared" si="5"/>
        <v>2354.9919829366972</v>
      </c>
    </row>
    <row r="32" spans="1:9" x14ac:dyDescent="0.3">
      <c r="A32">
        <v>29</v>
      </c>
      <c r="F32">
        <f t="shared" si="2"/>
        <v>1870.9683306758782</v>
      </c>
      <c r="G32">
        <f t="shared" si="5"/>
        <v>2387.2574325634296</v>
      </c>
    </row>
    <row r="33" spans="1:7" x14ac:dyDescent="0.3">
      <c r="A33">
        <v>30</v>
      </c>
      <c r="F33">
        <f t="shared" si="2"/>
        <v>1959.6780360096488</v>
      </c>
      <c r="G33">
        <f t="shared" si="5"/>
        <v>2420.0990509335188</v>
      </c>
    </row>
    <row r="35" spans="1:7" x14ac:dyDescent="0.3">
      <c r="A35" t="s">
        <v>100</v>
      </c>
      <c r="B35" t="s">
        <v>101</v>
      </c>
      <c r="C35" t="s">
        <v>102</v>
      </c>
    </row>
    <row r="37" spans="1:7" x14ac:dyDescent="0.3">
      <c r="A37" t="s">
        <v>103</v>
      </c>
    </row>
    <row r="38" spans="1:7" x14ac:dyDescent="0.3">
      <c r="A38" t="s">
        <v>104</v>
      </c>
    </row>
    <row r="39" spans="1:7" x14ac:dyDescent="0.3">
      <c r="A3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4.4" x14ac:dyDescent="0.3"/>
  <cols>
    <col min="1" max="1" width="35" customWidth="1"/>
    <col min="2" max="2" width="16" customWidth="1"/>
    <col min="3" max="3" width="45" customWidth="1"/>
    <col min="4" max="4" width="10" customWidth="1"/>
  </cols>
  <sheetData>
    <row r="1" spans="1:4" x14ac:dyDescent="0.3">
      <c r="A1" s="1" t="s">
        <v>106</v>
      </c>
      <c r="B1" s="1" t="s">
        <v>107</v>
      </c>
      <c r="C1" s="1" t="s">
        <v>108</v>
      </c>
      <c r="D1" s="1" t="s">
        <v>109</v>
      </c>
    </row>
    <row r="2" spans="1:4" x14ac:dyDescent="0.3">
      <c r="A2" t="s">
        <v>110</v>
      </c>
      <c r="B2">
        <v>99</v>
      </c>
      <c r="C2">
        <f>1*TOMATO_HRS*SEASON_WEEKS*(1+TOMATO_DIM)^1</f>
        <v>99.000000000000014</v>
      </c>
      <c r="D2" t="b">
        <f>C2=B2</f>
        <v>1</v>
      </c>
    </row>
    <row r="3" spans="1:4" x14ac:dyDescent="0.3">
      <c r="A3" t="s">
        <v>111</v>
      </c>
      <c r="B3" t="s">
        <v>112</v>
      </c>
      <c r="C3">
        <f>TOMATO_BEDS+CARROT_BEDS+MESCLUN_BEDS</f>
        <v>60</v>
      </c>
      <c r="D3" t="b">
        <f>C3&lt;=TOTAL_BEDS</f>
        <v>1</v>
      </c>
    </row>
    <row r="4" spans="1:4" x14ac:dyDescent="0.3">
      <c r="A4" t="s">
        <v>113</v>
      </c>
      <c r="B4" t="s">
        <v>114</v>
      </c>
      <c r="C4">
        <f>TOMATO_BEDS</f>
        <v>10</v>
      </c>
      <c r="D4" t="b">
        <f>C4&lt;=TOMATO_BED_CAP</f>
        <v>1</v>
      </c>
    </row>
    <row r="5" spans="1:4" x14ac:dyDescent="0.3">
      <c r="A5" t="s">
        <v>115</v>
      </c>
      <c r="B5" t="s">
        <v>114</v>
      </c>
      <c r="C5">
        <f>CARROT_BEDS</f>
        <v>20</v>
      </c>
      <c r="D5" t="b">
        <f>C5&lt;=CARROT_BED_CAP</f>
        <v>1</v>
      </c>
    </row>
    <row r="6" spans="1:4" x14ac:dyDescent="0.3">
      <c r="A6" t="s">
        <v>116</v>
      </c>
      <c r="B6" t="s">
        <v>117</v>
      </c>
      <c r="C6">
        <f>MESCLUN_BEDS</f>
        <v>30</v>
      </c>
      <c r="D6" t="b">
        <f>C6&lt;=MESCLUN_BED_CAP</f>
        <v>1</v>
      </c>
    </row>
    <row r="7" spans="1:4" x14ac:dyDescent="0.3">
      <c r="A7" t="s">
        <v>118</v>
      </c>
      <c r="B7" t="s">
        <v>119</v>
      </c>
      <c r="C7">
        <f>CostStructure!B14</f>
        <v>4</v>
      </c>
      <c r="D7" t="b">
        <f>C7&lt;=TEMP_WORKER_CAP</f>
        <v>1</v>
      </c>
    </row>
    <row r="8" spans="1:4" x14ac:dyDescent="0.3">
      <c r="A8" t="s">
        <v>120</v>
      </c>
      <c r="B8" t="s">
        <v>121</v>
      </c>
      <c r="C8" t="s">
        <v>122</v>
      </c>
    </row>
    <row r="9" spans="1:4" x14ac:dyDescent="0.3">
      <c r="A9" t="s">
        <v>123</v>
      </c>
      <c r="B9">
        <v>42762</v>
      </c>
      <c r="C9">
        <f>CostStructure!B32</f>
        <v>42761.664682745002</v>
      </c>
      <c r="D9" t="b">
        <f>ROUND(C9,0)=B9</f>
        <v>1</v>
      </c>
    </row>
    <row r="11" spans="1:4" x14ac:dyDescent="0.3">
      <c r="A11" t="s">
        <v>124</v>
      </c>
      <c r="B11" t="s">
        <v>125</v>
      </c>
    </row>
    <row r="12" spans="1:4" x14ac:dyDescent="0.3">
      <c r="A12" t="s">
        <v>126</v>
      </c>
      <c r="B12" t="s">
        <v>127</v>
      </c>
    </row>
    <row r="13" spans="1:4" x14ac:dyDescent="0.3">
      <c r="A13" t="s">
        <v>128</v>
      </c>
      <c r="B13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27</vt:i4>
      </vt:variant>
    </vt:vector>
  </HeadingPairs>
  <TitlesOfParts>
    <vt:vector size="32" baseType="lpstr">
      <vt:lpstr>Inputs</vt:lpstr>
      <vt:lpstr>CostStructure</vt:lpstr>
      <vt:lpstr>Optimization</vt:lpstr>
      <vt:lpstr>MarginalCostSchedules</vt:lpstr>
      <vt:lpstr>Checks</vt:lpstr>
      <vt:lpstr>CARROT_BED_CAP</vt:lpstr>
      <vt:lpstr>CARROT_BEDS</vt:lpstr>
      <vt:lpstr>CARROT_DIM</vt:lpstr>
      <vt:lpstr>CARROT_FERT</vt:lpstr>
      <vt:lpstr>CARROT_HRS</vt:lpstr>
      <vt:lpstr>CARROT_REVENUE</vt:lpstr>
      <vt:lpstr>FIXED_COSTS</vt:lpstr>
      <vt:lpstr>MESCLUN_BED_CAP</vt:lpstr>
      <vt:lpstr>MESCLUN_BEDS</vt:lpstr>
      <vt:lpstr>MESCLUN_DIM</vt:lpstr>
      <vt:lpstr>MESCLUN_FERT</vt:lpstr>
      <vt:lpstr>MESCLUN_HRS</vt:lpstr>
      <vt:lpstr>MESCLUN_REVENUE</vt:lpstr>
      <vt:lpstr>OWNER_HRS</vt:lpstr>
      <vt:lpstr>OWNER_RATE</vt:lpstr>
      <vt:lpstr>PROFIT_CELL_NOTE</vt:lpstr>
      <vt:lpstr>SEASON_WEEKS</vt:lpstr>
      <vt:lpstr>TEMP_HRS_EACH</vt:lpstr>
      <vt:lpstr>TEMP_RATE</vt:lpstr>
      <vt:lpstr>TEMP_WORKER_CAP</vt:lpstr>
      <vt:lpstr>TOMATO_BED_CAP</vt:lpstr>
      <vt:lpstr>TOMATO_BEDS</vt:lpstr>
      <vt:lpstr>TOMATO_DIM</vt:lpstr>
      <vt:lpstr>TOMATO_FERT</vt:lpstr>
      <vt:lpstr>TOMATO_HRS</vt:lpstr>
      <vt:lpstr>TOMATO_REVENUE</vt:lpstr>
      <vt:lpstr>TOTAL_BEDS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Montalvo</cp:lastModifiedBy>
  <dcterms:created xsi:type="dcterms:W3CDTF">2026-09-09T08:37:10Z</dcterms:created>
  <dcterms:modified xsi:type="dcterms:W3CDTF">2026-10-09T07:23:38Z</dcterms:modified>
</cp:coreProperties>
</file>